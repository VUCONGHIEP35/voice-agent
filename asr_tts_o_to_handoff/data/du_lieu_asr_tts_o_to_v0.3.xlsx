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New folder (2)\asr_tts_o_to_handoff\asr_tts_o_to_handoff\data\"/>
    </mc:Choice>
  </mc:AlternateContent>
  <xr:revisionPtr revIDLastSave="0" documentId="13_ncr:1_{790A2418-5D3D-47C6-B627-01EAB9CC1CCE}" xr6:coauthVersionLast="47" xr6:coauthVersionMax="47" xr10:uidLastSave="{00000000-0000-0000-0000-000000000000}"/>
  <bookViews>
    <workbookView xWindow="0" yWindow="360" windowWidth="23256" windowHeight="12456" tabRatio="500" firstSheet="11" activeTab="14" xr2:uid="{00000000-000D-0000-FFFF-FFFF00000000}"/>
  </bookViews>
  <sheets>
    <sheet name="Tong_quan" sheetId="1" r:id="rId1"/>
    <sheet name="Muc_dich" sheetId="2" r:id="rId2"/>
    <sheet name="Case_study" sheetId="3" r:id="rId3"/>
    <sheet name="Yeu_to" sheetId="4" r:id="rId4"/>
    <sheet name="Buoc_xu_ly" sheetId="5" r:id="rId5"/>
    <sheet name="Ma_tran" sheetId="6" r:id="rId6"/>
    <sheet name="Mau_khung" sheetId="7" r:id="rId7"/>
    <sheet name="Mau_cau" sheetId="8" r:id="rId8"/>
    <sheet name="Chi_tieu" sheetId="9" r:id="rId9"/>
    <sheet name="Preset_moi_truong" sheetId="10" r:id="rId10"/>
    <sheet name="Danh_gia" sheetId="11" r:id="rId11"/>
    <sheet name="Ho_so_nguoi_noi" sheetId="12" r:id="rId12"/>
    <sheet name="Nguon_giay_phep" sheetId="13" r:id="rId13"/>
    <sheet name="Tai_lieu" sheetId="14" r:id="rId14"/>
    <sheet name="Tu_dia_phuong" sheetId="15" r:id="rId15"/>
    <sheet name="Tu_vung" sheetId="16" r:id="rId16"/>
  </sheets>
  <definedNames>
    <definedName name="_xlnm._FilterDatabase" localSheetId="7" hidden="1">Mau_cau!$A$3:$R$82</definedName>
    <definedName name="_xlnm._FilterDatabase" localSheetId="3" hidden="1">Yeu_to!$A$3:$O$74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1" i="11" l="1"/>
  <c r="E31" i="11"/>
  <c r="D31" i="11"/>
  <c r="F30" i="11"/>
  <c r="F29" i="11"/>
  <c r="F28" i="11"/>
  <c r="H20" i="11"/>
  <c r="H19" i="11"/>
  <c r="H18" i="11"/>
  <c r="H17" i="11"/>
  <c r="H16" i="11"/>
  <c r="H15" i="11"/>
  <c r="H14" i="11"/>
  <c r="H13" i="11"/>
  <c r="H12" i="11"/>
  <c r="H11" i="11"/>
  <c r="H10" i="11"/>
  <c r="H9" i="11"/>
  <c r="H8" i="11"/>
  <c r="H7" i="11"/>
  <c r="H6" i="11"/>
  <c r="H5" i="11"/>
  <c r="H4" i="11"/>
  <c r="B45" i="9"/>
  <c r="C39" i="9"/>
  <c r="F39" i="9" s="1"/>
  <c r="G38" i="9"/>
  <c r="D38" i="9"/>
  <c r="H38" i="9" s="1"/>
  <c r="I38" i="9" s="1"/>
  <c r="B38" i="9"/>
  <c r="G37" i="9"/>
  <c r="E37" i="9"/>
  <c r="F37" i="9" s="1"/>
  <c r="D37" i="9"/>
  <c r="H37" i="9" s="1"/>
  <c r="I37" i="9" s="1"/>
  <c r="B37" i="9"/>
  <c r="G36" i="9"/>
  <c r="D36" i="9"/>
  <c r="H36" i="9" s="1"/>
  <c r="I36" i="9" s="1"/>
  <c r="B36" i="9"/>
  <c r="H35" i="9"/>
  <c r="I35" i="9" s="1"/>
  <c r="G35" i="9"/>
  <c r="D35" i="9"/>
  <c r="B35" i="9"/>
  <c r="H34" i="9"/>
  <c r="I34" i="9" s="1"/>
  <c r="G34" i="9"/>
  <c r="D34" i="9"/>
  <c r="B34" i="9"/>
  <c r="H33" i="9"/>
  <c r="I33" i="9" s="1"/>
  <c r="G33" i="9"/>
  <c r="D33" i="9"/>
  <c r="B33" i="9"/>
  <c r="I32" i="9"/>
  <c r="H32" i="9"/>
  <c r="G32" i="9"/>
  <c r="D32" i="9"/>
  <c r="B32" i="9"/>
  <c r="H31" i="9"/>
  <c r="I31" i="9" s="1"/>
  <c r="G31" i="9"/>
  <c r="D31" i="9"/>
  <c r="B31" i="9"/>
  <c r="H30" i="9"/>
  <c r="I30" i="9" s="1"/>
  <c r="G30" i="9"/>
  <c r="D30" i="9"/>
  <c r="B30" i="9"/>
  <c r="H29" i="9"/>
  <c r="I29" i="9" s="1"/>
  <c r="G29" i="9"/>
  <c r="D29" i="9"/>
  <c r="B29" i="9"/>
  <c r="I28" i="9"/>
  <c r="H28" i="9"/>
  <c r="G28" i="9"/>
  <c r="E28" i="9"/>
  <c r="F28" i="9" s="1"/>
  <c r="D28" i="9"/>
  <c r="B28" i="9"/>
  <c r="H27" i="9"/>
  <c r="G27" i="9"/>
  <c r="G39" i="9" s="1"/>
  <c r="D27" i="9"/>
  <c r="D39" i="9" s="1"/>
  <c r="B27" i="9"/>
  <c r="F23" i="9"/>
  <c r="F22" i="9"/>
  <c r="B22" i="9"/>
  <c r="F21" i="9"/>
  <c r="C21" i="9"/>
  <c r="G21" i="9" s="1"/>
  <c r="B21" i="9"/>
  <c r="F20" i="9"/>
  <c r="C20" i="9"/>
  <c r="B20" i="9"/>
  <c r="B9" i="9"/>
  <c r="C9" i="9" s="1"/>
  <c r="Q82" i="8"/>
  <c r="O82" i="8"/>
  <c r="P82" i="8" s="1"/>
  <c r="D82" i="8"/>
  <c r="Q81" i="8"/>
  <c r="O81" i="8"/>
  <c r="P81" i="8" s="1"/>
  <c r="D81" i="8"/>
  <c r="Q80" i="8"/>
  <c r="P80" i="8"/>
  <c r="O80" i="8"/>
  <c r="D80" i="8"/>
  <c r="Q79" i="8"/>
  <c r="O79" i="8"/>
  <c r="P79" i="8" s="1"/>
  <c r="D79" i="8"/>
  <c r="Q78" i="8"/>
  <c r="P78" i="8"/>
  <c r="O78" i="8"/>
  <c r="D78" i="8"/>
  <c r="Q77" i="8"/>
  <c r="O77" i="8"/>
  <c r="P77" i="8" s="1"/>
  <c r="D77" i="8"/>
  <c r="Q76" i="8"/>
  <c r="O76" i="8"/>
  <c r="P76" i="8" s="1"/>
  <c r="D76" i="8"/>
  <c r="Q75" i="8"/>
  <c r="P75" i="8"/>
  <c r="O75" i="8"/>
  <c r="D75" i="8"/>
  <c r="Q74" i="8"/>
  <c r="O74" i="8"/>
  <c r="P74" i="8" s="1"/>
  <c r="D74" i="8"/>
  <c r="Q73" i="8"/>
  <c r="P73" i="8"/>
  <c r="O73" i="8"/>
  <c r="D73" i="8"/>
  <c r="Q72" i="8"/>
  <c r="O72" i="8"/>
  <c r="P72" i="8" s="1"/>
  <c r="D72" i="8"/>
  <c r="Q71" i="8"/>
  <c r="O71" i="8"/>
  <c r="P71" i="8" s="1"/>
  <c r="D71" i="8"/>
  <c r="Q70" i="8"/>
  <c r="P70" i="8"/>
  <c r="O70" i="8"/>
  <c r="D70" i="8"/>
  <c r="Q69" i="8"/>
  <c r="O69" i="8"/>
  <c r="P69" i="8" s="1"/>
  <c r="D69" i="8"/>
  <c r="Q68" i="8"/>
  <c r="P68" i="8"/>
  <c r="O68" i="8"/>
  <c r="D68" i="8"/>
  <c r="Q67" i="8"/>
  <c r="O67" i="8"/>
  <c r="P67" i="8" s="1"/>
  <c r="D67" i="8"/>
  <c r="Q66" i="8"/>
  <c r="O66" i="8"/>
  <c r="P66" i="8" s="1"/>
  <c r="D66" i="8"/>
  <c r="Q65" i="8"/>
  <c r="P65" i="8"/>
  <c r="O65" i="8"/>
  <c r="D65" i="8"/>
  <c r="Q64" i="8"/>
  <c r="O64" i="8"/>
  <c r="P64" i="8" s="1"/>
  <c r="D64" i="8"/>
  <c r="Q63" i="8"/>
  <c r="P63" i="8"/>
  <c r="O63" i="8"/>
  <c r="D63" i="8"/>
  <c r="Q62" i="8"/>
  <c r="O62" i="8"/>
  <c r="P62" i="8" s="1"/>
  <c r="D62" i="8"/>
  <c r="Q61" i="8"/>
  <c r="O61" i="8"/>
  <c r="P61" i="8" s="1"/>
  <c r="D61" i="8"/>
  <c r="Q60" i="8"/>
  <c r="P60" i="8"/>
  <c r="O60" i="8"/>
  <c r="D60" i="8"/>
  <c r="Q59" i="8"/>
  <c r="O59" i="8"/>
  <c r="P59" i="8" s="1"/>
  <c r="D59" i="8"/>
  <c r="Q58" i="8"/>
  <c r="P58" i="8"/>
  <c r="O58" i="8"/>
  <c r="D58" i="8"/>
  <c r="Q57" i="8"/>
  <c r="O57" i="8"/>
  <c r="P57" i="8" s="1"/>
  <c r="D57" i="8"/>
  <c r="Q56" i="8"/>
  <c r="O56" i="8"/>
  <c r="P56" i="8" s="1"/>
  <c r="D56" i="8"/>
  <c r="Q55" i="8"/>
  <c r="P55" i="8"/>
  <c r="O55" i="8"/>
  <c r="D55" i="8"/>
  <c r="Q54" i="8"/>
  <c r="O54" i="8"/>
  <c r="P54" i="8" s="1"/>
  <c r="D54" i="8"/>
  <c r="Q53" i="8"/>
  <c r="P53" i="8"/>
  <c r="O53" i="8"/>
  <c r="D53" i="8"/>
  <c r="Q52" i="8"/>
  <c r="O52" i="8"/>
  <c r="P52" i="8" s="1"/>
  <c r="D52" i="8"/>
  <c r="Q51" i="8"/>
  <c r="O51" i="8"/>
  <c r="P51" i="8" s="1"/>
  <c r="D51" i="8"/>
  <c r="Q50" i="8"/>
  <c r="P50" i="8"/>
  <c r="O50" i="8"/>
  <c r="D50" i="8"/>
  <c r="Q49" i="8"/>
  <c r="O49" i="8"/>
  <c r="P49" i="8" s="1"/>
  <c r="D49" i="8"/>
  <c r="Q48" i="8"/>
  <c r="P48" i="8"/>
  <c r="O48" i="8"/>
  <c r="D48" i="8"/>
  <c r="Q47" i="8"/>
  <c r="O47" i="8"/>
  <c r="P47" i="8" s="1"/>
  <c r="D47" i="8"/>
  <c r="Q46" i="8"/>
  <c r="O46" i="8"/>
  <c r="P46" i="8" s="1"/>
  <c r="D46" i="8"/>
  <c r="Q45" i="8"/>
  <c r="P45" i="8"/>
  <c r="O45" i="8"/>
  <c r="D45" i="8"/>
  <c r="Q44" i="8"/>
  <c r="O44" i="8"/>
  <c r="P44" i="8" s="1"/>
  <c r="D44" i="8"/>
  <c r="Q43" i="8"/>
  <c r="P43" i="8"/>
  <c r="O43" i="8"/>
  <c r="D43" i="8"/>
  <c r="Q42" i="8"/>
  <c r="O42" i="8"/>
  <c r="P42" i="8" s="1"/>
  <c r="D42" i="8"/>
  <c r="Q41" i="8"/>
  <c r="O41" i="8"/>
  <c r="P41" i="8" s="1"/>
  <c r="D41" i="8"/>
  <c r="Q40" i="8"/>
  <c r="P40" i="8"/>
  <c r="O40" i="8"/>
  <c r="D40" i="8"/>
  <c r="Q39" i="8"/>
  <c r="O39" i="8"/>
  <c r="P39" i="8" s="1"/>
  <c r="D39" i="8"/>
  <c r="Q38" i="8"/>
  <c r="P38" i="8"/>
  <c r="O38" i="8"/>
  <c r="D38" i="8"/>
  <c r="Q37" i="8"/>
  <c r="O37" i="8"/>
  <c r="P37" i="8" s="1"/>
  <c r="D37" i="8"/>
  <c r="Q36" i="8"/>
  <c r="O36" i="8"/>
  <c r="P36" i="8" s="1"/>
  <c r="D36" i="8"/>
  <c r="Q35" i="8"/>
  <c r="P35" i="8"/>
  <c r="O35" i="8"/>
  <c r="D35" i="8"/>
  <c r="Q34" i="8"/>
  <c r="O34" i="8"/>
  <c r="P34" i="8" s="1"/>
  <c r="D34" i="8"/>
  <c r="Q33" i="8"/>
  <c r="P33" i="8"/>
  <c r="O33" i="8"/>
  <c r="D33" i="8"/>
  <c r="Q32" i="8"/>
  <c r="O32" i="8"/>
  <c r="P32" i="8" s="1"/>
  <c r="D32" i="8"/>
  <c r="Q31" i="8"/>
  <c r="O31" i="8"/>
  <c r="P31" i="8" s="1"/>
  <c r="D31" i="8"/>
  <c r="Q30" i="8"/>
  <c r="P30" i="8"/>
  <c r="O30" i="8"/>
  <c r="D30" i="8"/>
  <c r="Q29" i="8"/>
  <c r="O29" i="8"/>
  <c r="P29" i="8" s="1"/>
  <c r="D29" i="8"/>
  <c r="Q28" i="8"/>
  <c r="P28" i="8"/>
  <c r="O28" i="8"/>
  <c r="D28" i="8"/>
  <c r="Q27" i="8"/>
  <c r="O27" i="8"/>
  <c r="P27" i="8" s="1"/>
  <c r="D27" i="8"/>
  <c r="Q26" i="8"/>
  <c r="O26" i="8"/>
  <c r="P26" i="8" s="1"/>
  <c r="D26" i="8"/>
  <c r="Q25" i="8"/>
  <c r="P25" i="8"/>
  <c r="O25" i="8"/>
  <c r="D25" i="8"/>
  <c r="Q24" i="8"/>
  <c r="O24" i="8"/>
  <c r="P24" i="8" s="1"/>
  <c r="D24" i="8"/>
  <c r="Q23" i="8"/>
  <c r="P23" i="8"/>
  <c r="O23" i="8"/>
  <c r="D23" i="8"/>
  <c r="Q22" i="8"/>
  <c r="O22" i="8"/>
  <c r="P22" i="8" s="1"/>
  <c r="D22" i="8"/>
  <c r="Q21" i="8"/>
  <c r="O21" i="8"/>
  <c r="P21" i="8" s="1"/>
  <c r="D21" i="8"/>
  <c r="Q20" i="8"/>
  <c r="P20" i="8"/>
  <c r="O20" i="8"/>
  <c r="D20" i="8"/>
  <c r="Q19" i="8"/>
  <c r="O19" i="8"/>
  <c r="P19" i="8" s="1"/>
  <c r="D19" i="8"/>
  <c r="Q18" i="8"/>
  <c r="P18" i="8"/>
  <c r="O18" i="8"/>
  <c r="D18" i="8"/>
  <c r="Q17" i="8"/>
  <c r="O17" i="8"/>
  <c r="P17" i="8" s="1"/>
  <c r="D17" i="8"/>
  <c r="Q16" i="8"/>
  <c r="O16" i="8"/>
  <c r="P16" i="8" s="1"/>
  <c r="D16" i="8"/>
  <c r="Q15" i="8"/>
  <c r="P15" i="8"/>
  <c r="O15" i="8"/>
  <c r="D15" i="8"/>
  <c r="Q14" i="8"/>
  <c r="O14" i="8"/>
  <c r="P14" i="8" s="1"/>
  <c r="D14" i="8"/>
  <c r="Q13" i="8"/>
  <c r="P13" i="8"/>
  <c r="O13" i="8"/>
  <c r="D13" i="8"/>
  <c r="Q12" i="8"/>
  <c r="O12" i="8"/>
  <c r="P12" i="8" s="1"/>
  <c r="D12" i="8"/>
  <c r="Q11" i="8"/>
  <c r="O11" i="8"/>
  <c r="P11" i="8" s="1"/>
  <c r="D11" i="8"/>
  <c r="Q10" i="8"/>
  <c r="P10" i="8"/>
  <c r="O10" i="8"/>
  <c r="D10" i="8"/>
  <c r="Q9" i="8"/>
  <c r="O9" i="8"/>
  <c r="P9" i="8" s="1"/>
  <c r="D9" i="8"/>
  <c r="Q8" i="8"/>
  <c r="P8" i="8"/>
  <c r="O8" i="8"/>
  <c r="D8" i="8"/>
  <c r="Q7" i="8"/>
  <c r="O7" i="8"/>
  <c r="P7" i="8" s="1"/>
  <c r="D7" i="8"/>
  <c r="Q6" i="8"/>
  <c r="O6" i="8"/>
  <c r="P6" i="8" s="1"/>
  <c r="D6" i="8"/>
  <c r="Q5" i="8"/>
  <c r="P5" i="8"/>
  <c r="O5" i="8"/>
  <c r="D5" i="8"/>
  <c r="Q4" i="8"/>
  <c r="C13" i="9" s="1"/>
  <c r="O4" i="8"/>
  <c r="P4" i="8" s="1"/>
  <c r="D4" i="8"/>
  <c r="N21" i="7"/>
  <c r="N20" i="7"/>
  <c r="E38" i="9" s="1"/>
  <c r="F38" i="9" s="1"/>
  <c r="N19" i="7"/>
  <c r="N18" i="7"/>
  <c r="E36" i="9" s="1"/>
  <c r="F36" i="9" s="1"/>
  <c r="N17" i="7"/>
  <c r="E35" i="9" s="1"/>
  <c r="F35" i="9" s="1"/>
  <c r="N16" i="7"/>
  <c r="E34" i="9" s="1"/>
  <c r="F34" i="9" s="1"/>
  <c r="N15" i="7"/>
  <c r="E33" i="9" s="1"/>
  <c r="F33" i="9" s="1"/>
  <c r="N14" i="7"/>
  <c r="E32" i="9" s="1"/>
  <c r="F32" i="9" s="1"/>
  <c r="N13" i="7"/>
  <c r="E31" i="9" s="1"/>
  <c r="F31" i="9" s="1"/>
  <c r="N12" i="7"/>
  <c r="N11" i="7"/>
  <c r="N10" i="7"/>
  <c r="E30" i="9" s="1"/>
  <c r="F30" i="9" s="1"/>
  <c r="N9" i="7"/>
  <c r="N8" i="7"/>
  <c r="E29" i="9" s="1"/>
  <c r="F29" i="9" s="1"/>
  <c r="N7" i="7"/>
  <c r="N6" i="7"/>
  <c r="N5" i="7"/>
  <c r="N4" i="7"/>
  <c r="E27" i="9" s="1"/>
  <c r="O20" i="6"/>
  <c r="L20" i="6"/>
  <c r="J20" i="6"/>
  <c r="G20" i="6"/>
  <c r="Y19" i="6"/>
  <c r="X19" i="6"/>
  <c r="W19" i="6"/>
  <c r="V19" i="6"/>
  <c r="U19" i="6"/>
  <c r="T19" i="6"/>
  <c r="S19" i="6"/>
  <c r="R19" i="6"/>
  <c r="Q19" i="6"/>
  <c r="P19" i="6"/>
  <c r="O19" i="6"/>
  <c r="N19" i="6"/>
  <c r="M19" i="6"/>
  <c r="L19" i="6"/>
  <c r="K19" i="6"/>
  <c r="J19" i="6"/>
  <c r="I19" i="6"/>
  <c r="H19" i="6"/>
  <c r="G19" i="6"/>
  <c r="F19" i="6"/>
  <c r="E19" i="6"/>
  <c r="D19" i="6"/>
  <c r="AA17" i="6"/>
  <c r="Z17" i="6"/>
  <c r="C17" i="6"/>
  <c r="B17" i="6"/>
  <c r="AA16" i="6"/>
  <c r="Z16" i="6"/>
  <c r="C16" i="6"/>
  <c r="B16" i="6"/>
  <c r="AA15" i="6"/>
  <c r="Z15" i="6"/>
  <c r="C15" i="6"/>
  <c r="B15" i="6"/>
  <c r="AA14" i="6"/>
  <c r="Z14" i="6"/>
  <c r="C14" i="6"/>
  <c r="B14" i="6"/>
  <c r="AA13" i="6"/>
  <c r="Z13" i="6"/>
  <c r="C13" i="6"/>
  <c r="B13" i="6"/>
  <c r="AA12" i="6"/>
  <c r="Z12" i="6"/>
  <c r="C12" i="6"/>
  <c r="B12" i="6"/>
  <c r="AA11" i="6"/>
  <c r="Z11" i="6"/>
  <c r="C11" i="6"/>
  <c r="B11" i="6"/>
  <c r="AA10" i="6"/>
  <c r="Z10" i="6"/>
  <c r="C10" i="6"/>
  <c r="B10" i="6"/>
  <c r="AA9" i="6"/>
  <c r="Z9" i="6"/>
  <c r="C9" i="6"/>
  <c r="B9" i="6"/>
  <c r="AA8" i="6"/>
  <c r="Z8" i="6"/>
  <c r="C8" i="6"/>
  <c r="B8" i="6"/>
  <c r="AA7" i="6"/>
  <c r="Z7" i="6"/>
  <c r="C7" i="6"/>
  <c r="B7" i="6"/>
  <c r="AA6" i="6"/>
  <c r="Z6" i="6"/>
  <c r="C6" i="6"/>
  <c r="B6" i="6"/>
  <c r="Y5" i="6"/>
  <c r="Y20" i="6" s="1"/>
  <c r="X5" i="6"/>
  <c r="X20" i="6" s="1"/>
  <c r="W5" i="6"/>
  <c r="W20" i="6" s="1"/>
  <c r="V5" i="6"/>
  <c r="V20" i="6" s="1"/>
  <c r="U5" i="6"/>
  <c r="U20" i="6" s="1"/>
  <c r="T5" i="6"/>
  <c r="T20" i="6" s="1"/>
  <c r="S5" i="6"/>
  <c r="S20" i="6" s="1"/>
  <c r="R5" i="6"/>
  <c r="R20" i="6" s="1"/>
  <c r="Q5" i="6"/>
  <c r="Q20" i="6" s="1"/>
  <c r="P5" i="6"/>
  <c r="P20" i="6" s="1"/>
  <c r="O5" i="6"/>
  <c r="N5" i="6"/>
  <c r="N20" i="6" s="1"/>
  <c r="M5" i="6"/>
  <c r="M20" i="6" s="1"/>
  <c r="L5" i="6"/>
  <c r="K5" i="6"/>
  <c r="K20" i="6" s="1"/>
  <c r="J5" i="6"/>
  <c r="I5" i="6"/>
  <c r="I20" i="6" s="1"/>
  <c r="H5" i="6"/>
  <c r="H20" i="6" s="1"/>
  <c r="G5" i="6"/>
  <c r="F5" i="6"/>
  <c r="F20" i="6" s="1"/>
  <c r="E5" i="6"/>
  <c r="E20" i="6" s="1"/>
  <c r="D5" i="6"/>
  <c r="D20" i="6" s="1"/>
  <c r="Y4" i="6"/>
  <c r="X4" i="6"/>
  <c r="W4" i="6"/>
  <c r="V4" i="6"/>
  <c r="U4" i="6"/>
  <c r="T4" i="6"/>
  <c r="S4" i="6"/>
  <c r="R4" i="6"/>
  <c r="Q4" i="6"/>
  <c r="P4" i="6"/>
  <c r="O4" i="6"/>
  <c r="N4" i="6"/>
  <c r="M4" i="6"/>
  <c r="L4" i="6"/>
  <c r="K4" i="6"/>
  <c r="J4" i="6"/>
  <c r="I4" i="6"/>
  <c r="H4" i="6"/>
  <c r="G4" i="6"/>
  <c r="F4" i="6"/>
  <c r="E4" i="6"/>
  <c r="D4" i="6"/>
  <c r="C12" i="5"/>
  <c r="C13" i="5" s="1"/>
  <c r="D11" i="5"/>
  <c r="C11" i="5"/>
  <c r="D10" i="5"/>
  <c r="C10" i="5"/>
  <c r="D9" i="5"/>
  <c r="C9" i="5"/>
  <c r="D8" i="5"/>
  <c r="C8" i="5"/>
  <c r="D7" i="5"/>
  <c r="C7" i="5"/>
  <c r="D6" i="5"/>
  <c r="C6" i="5"/>
  <c r="D5" i="5"/>
  <c r="C5" i="5"/>
  <c r="D4" i="5"/>
  <c r="D12" i="5" s="1"/>
  <c r="C4" i="5"/>
  <c r="O74" i="4"/>
  <c r="O73" i="4"/>
  <c r="O72" i="4"/>
  <c r="O71" i="4"/>
  <c r="O70" i="4"/>
  <c r="O69" i="4"/>
  <c r="O68" i="4"/>
  <c r="O65" i="4"/>
  <c r="O63" i="4"/>
  <c r="O62" i="4"/>
  <c r="O61" i="4"/>
  <c r="O60" i="4"/>
  <c r="O59" i="4"/>
  <c r="O58" i="4"/>
  <c r="O51" i="4"/>
  <c r="O50" i="4"/>
  <c r="O45" i="4"/>
  <c r="O15" i="3"/>
  <c r="N15" i="3"/>
  <c r="M15" i="3"/>
  <c r="L15" i="3"/>
  <c r="O14" i="3"/>
  <c r="N14" i="3"/>
  <c r="M14" i="3"/>
  <c r="L14" i="3"/>
  <c r="O13" i="3"/>
  <c r="N13" i="3"/>
  <c r="M13" i="3"/>
  <c r="L13" i="3"/>
  <c r="O12" i="3"/>
  <c r="N12" i="3"/>
  <c r="M12" i="3"/>
  <c r="L12" i="3"/>
  <c r="O11" i="3"/>
  <c r="N11" i="3"/>
  <c r="M11" i="3"/>
  <c r="L11" i="3"/>
  <c r="O10" i="3"/>
  <c r="N10" i="3"/>
  <c r="M10" i="3"/>
  <c r="L10" i="3"/>
  <c r="O9" i="3"/>
  <c r="N9" i="3"/>
  <c r="M9" i="3"/>
  <c r="L9" i="3"/>
  <c r="O8" i="3"/>
  <c r="N8" i="3"/>
  <c r="M8" i="3"/>
  <c r="L8" i="3"/>
  <c r="O7" i="3"/>
  <c r="N7" i="3"/>
  <c r="M7" i="3"/>
  <c r="L7" i="3"/>
  <c r="O6" i="3"/>
  <c r="N6" i="3"/>
  <c r="M6" i="3"/>
  <c r="L6" i="3"/>
  <c r="O5" i="3"/>
  <c r="N5" i="3"/>
  <c r="M5" i="3"/>
  <c r="L5" i="3"/>
  <c r="O4" i="3"/>
  <c r="N4" i="3"/>
  <c r="M4" i="3"/>
  <c r="L4" i="3"/>
  <c r="K8" i="2"/>
  <c r="K7" i="2"/>
  <c r="K6" i="2"/>
  <c r="K5" i="2"/>
  <c r="K4" i="2"/>
  <c r="B8" i="1"/>
  <c r="B7" i="1"/>
  <c r="B6" i="1"/>
  <c r="H39" i="9" l="1"/>
  <c r="E39" i="9"/>
  <c r="F27" i="9"/>
  <c r="D20" i="9"/>
  <c r="G20" i="9"/>
  <c r="I27" i="9"/>
  <c r="I39" i="9" s="1"/>
  <c r="B42" i="9" s="1"/>
  <c r="D21" i="9"/>
  <c r="E21" i="9" s="1"/>
  <c r="C22" i="9"/>
  <c r="G22" i="9" l="1"/>
  <c r="G23" i="9" s="1"/>
  <c r="D22" i="9"/>
  <c r="D23" i="9" s="1"/>
  <c r="B43" i="9"/>
  <c r="B44" i="9" s="1"/>
  <c r="B46" i="9" s="1"/>
  <c r="B47" i="9" s="1"/>
  <c r="E20" i="9"/>
  <c r="C23" i="9"/>
  <c r="E22" i="9" l="1"/>
  <c r="E23" i="9"/>
</calcChain>
</file>

<file path=xl/sharedStrings.xml><?xml version="1.0" encoding="utf-8"?>
<sst xmlns="http://schemas.openxmlformats.org/spreadsheetml/2006/main" count="3526" uniqueCount="1748">
  <si>
    <t>Bộ dữ liệu mẫu để sinh giọng nói trong xe cho huấn luyện ASR tiếng Việt – phiên bản 0.3</t>
  </si>
  <si>
    <t>12/10/2026. Viết lại từ bản 0.2: tách case study theo mục đích dữ liệu và gắn mỗi yếu tố ảnh hưởng với bước xử lý đã trao đổi.</t>
  </si>
  <si>
    <t>TRẢ LỜI CÂU HỎI: BỘ MẪU CÂU CÓ PHẢI ĐÁP ỨNG CÁC YẾU TỐ ẢNH HƯỞNG KHÔNG?</t>
  </si>
  <si>
    <t>Có, nhưng chỉ một phần</t>
  </si>
  <si>
    <t>Bộ mẫu câu phải đáp ứng các yếu tố mà chính câu quyết định (số, địa chỉ, tên riêng, từ vùng, câu cụt, độ dài...). Các yếu tố còn lại do bước khác xử lý: chọn giọng, điều khiển TTS, trộn nhiễu sau TTS, hoặc chỉ đo ở bộ đánh giá. Sheet Buoc_xu_ly và Yeu_to cho biết yếu tố nào ở bước nào.</t>
  </si>
  <si>
    <t>Số yếu tố do câu quyết định (bước 1)</t>
  </si>
  <si>
    <t>Số yếu tố do bước khác quyết định</t>
  </si>
  <si>
    <t>Tổng số yếu tố</t>
  </si>
  <si>
    <t>QUY TRÌNH TỔNG QUÁT</t>
  </si>
  <si>
    <t>Bước 1</t>
  </si>
  <si>
    <t>Chọn giọng thật sạch từ bộ dữ liệu có nhãn vùng (Bắc, Trung, Nam) và chọn đoạn tham chiếu.</t>
  </si>
  <si>
    <t>Bước 2</t>
  </si>
  <si>
    <t>Clone hoặc tinh chỉnh TTS (zero-shot trước; tinh chỉnh theo vùng nếu giọng vùng bị kéo về giọng chuẩn). Mục tiêu của TTS là sinh dữ liệu, không phải huấn luyện ASR.</t>
  </si>
  <si>
    <t>Bước 3</t>
  </si>
  <si>
    <t>Sinh câu của người dùng trong xe (M1, M2) và tập đối chiếu ngoài miền xe (M3) bằng cùng giọng, dạng âm thanh sạch.</t>
  </si>
  <si>
    <t>Bước 4</t>
  </si>
  <si>
    <t>Trộn nhiễu xe thật, đáp ứng xung khoang xe, giọng người khác, nhạc; đặt SNR; ghi lại nguồn ồn.</t>
  </si>
  <si>
    <t>Bước 5</t>
  </si>
  <si>
    <t>Huấn luyện ASR bằng dữ liệu thật ngoài miền xe cộng dữ liệu sinh đã trộn nhiễu.</t>
  </si>
  <si>
    <t>Bước 6</t>
  </si>
  <si>
    <t>Đánh giá trên bộ thật giữ riêng; bộ M4 dùng để chọn mô hình TTS trước khi sinh hàng loạt.</t>
  </si>
  <si>
    <t>CÁC SHEET</t>
  </si>
  <si>
    <t>Muc_dich</t>
  </si>
  <si>
    <t>5 mục đích dữ liệu M1–M5: ai nói, dùng vào đâu, có vào huấn luyện ASR không.</t>
  </si>
  <si>
    <t>Case_study</t>
  </si>
  <si>
    <t>12 case study, mỗi case gắn mục đích chính, phần người dùng và phần trợ lý, yếu tố trọng yếu, preset môi trường.</t>
  </si>
  <si>
    <t>Yeu_to</t>
  </si>
  <si>
    <t>71 yếu tố đã trao đổi, mỗi yếu tố gắn bước xử lý chính, cách xử lý, bằng chứng, số câu mẫu phủ.</t>
  </si>
  <si>
    <t>Buoc_xu_ly</t>
  </si>
  <si>
    <t>Số yếu tố theo từng bước xử lý.</t>
  </si>
  <si>
    <t>Ma_tran</t>
  </si>
  <si>
    <t>Case × yếu tố do câu quyết định, kèm số câu mẫu phủ từng yếu tố.</t>
  </si>
  <si>
    <t>Mau_khung</t>
  </si>
  <si>
    <t>Mẫu câu × khe thông tin; sức chứa tổ hợp để phủ số câu cần.</t>
  </si>
  <si>
    <t>Mau_cau</t>
  </si>
  <si>
    <t>Câu mẫu của người dùng (M1, M2) và câu chẩn đoán (M4), có nhãn yếu tố.</t>
  </si>
  <si>
    <t>Chi_tieu</t>
  </si>
  <si>
    <t>Số người nói, số câu, giờ âm thanh, tỷ lệ sinh/thật; ô vàng sửa được.</t>
  </si>
  <si>
    <t>Preset_moi_truong</t>
  </si>
  <si>
    <t>17 preset môi trường kèm nguồn ồn thật có thể dùng.</t>
  </si>
  <si>
    <t>Danh_gia</t>
  </si>
  <si>
    <t>Điểm giải pháp và điểm giữ giọng vùng (nhận định của mình, không phải số đo).</t>
  </si>
  <si>
    <t>Ho_so_nguoi_noi</t>
  </si>
  <si>
    <t>Mẫu hồ sơ giọng thật sẽ clone.</t>
  </si>
  <si>
    <t>Nguon_giay_phep</t>
  </si>
  <si>
    <t>Nguồn dữ liệu và tình trạng giấy phép.</t>
  </si>
  <si>
    <t>Tai_lieu</t>
  </si>
  <si>
    <t>Bài báo đã dùng và mức đã đọc.</t>
  </si>
  <si>
    <t>Tu_dia_phuong, Tu_vung</t>
  </si>
  <si>
    <t>Từ vựng vùng miền và danh sách giá trị cho ô chọn.</t>
  </si>
  <si>
    <t>LƯU Ý</t>
  </si>
  <si>
    <t>Số liệu</t>
  </si>
  <si>
    <t>Các hạn ngạch (số người nói, số câu, tỷ lệ) lấy từ các bài báo tiếng Anh, Hàn, Mân Nam; chưa ai kiểm cho tiếng Việt. Xem Danh_gia và Tai_lieu.</t>
  </si>
  <si>
    <t>Câu mẫu</t>
  </si>
  <si>
    <t>Câu mẫu chỉ để minh họa cấu trúc và nhãn. Từ vựng và cách đọc từng vùng cần người bản ngữ duyệt trước khi dùng.</t>
  </si>
  <si>
    <t>M3</t>
  </si>
  <si>
    <t>Tập đối chiếu ngoài miền xe chưa có transcript vì chưa chọn bộ thật; chỉ cần lấy từ bộ thật đã chọn, không dùng câu của tập kiểm thử.</t>
  </si>
  <si>
    <t>THAM SỐ ƯỚC LƯỢNG THỜI LƯỢNG (sửa được)</t>
  </si>
  <si>
    <t>Tốc độ nói để ước thời lượng</t>
  </si>
  <si>
    <t>âm tiết/giây</t>
  </si>
  <si>
    <t>Giá trị vừa của bản 0.2 (chọn tạm, chưa đo).</t>
  </si>
  <si>
    <t>Mục đích dữ liệu M1–M5</t>
  </si>
  <si>
    <t>Mỗi dòng của Mau_cau thuộc đúng một mục đích. Cột xanh lá tự tính.</t>
  </si>
  <si>
    <t>Mã</t>
  </si>
  <si>
    <t>Tên</t>
  </si>
  <si>
    <t>Ai nói</t>
  </si>
  <si>
    <t>Dùng để làm gì</t>
  </si>
  <si>
    <t>Vào huấn luyện ASR</t>
  </si>
  <si>
    <t>Vào kiểm thử</t>
  </si>
  <si>
    <t>Nguồn văn bản</t>
  </si>
  <si>
    <t>Nguồn giọng</t>
  </si>
  <si>
    <t>Bước áp dụng</t>
  </si>
  <si>
    <t>Ghi chú</t>
  </si>
  <si>
    <t>Số câu mẫu trong Mau_cau</t>
  </si>
  <si>
    <t>M1</t>
  </si>
  <si>
    <t>Lệnh và câu hỏi của người dùng trong xe (sinh)</t>
  </si>
  <si>
    <t>Người dùng</t>
  </si>
  <si>
    <t>Dữ liệu chính cần sinh: những gì người lái hoặc hành khách nói với trợ lý. Đây là thứ ASR phải nhận ra.</t>
  </si>
  <si>
    <t>Có</t>
  </si>
  <si>
    <t>Một phần giữ lại, chia theo người nói và mẫu câu</t>
  </si>
  <si>
    <t>Mẫu câu × khe + diễn đạt lại bằng LLM, người bản ngữ duyệt (xem Mau_khung)</t>
  </si>
  <si>
    <t>Clone từ giọng thật có nhãn vùng; đoạn tham chiếu cùng vùng với từ vựng của câu</t>
  </si>
  <si>
    <t>Bước 1 đến 5 (mọi yếu tố phía người nói và nhiễu)</t>
  </si>
  <si>
    <t>Phần lớn số câu nằm ở đây. Chưa có paper đo trên tiếng Việt.</t>
  </si>
  <si>
    <t>M2</t>
  </si>
  <si>
    <t>Câu trả lời ngắn cho trợ lý (sinh)</t>
  </si>
  <si>
    <t>Câu 1 đến 3 âm tiết đáp lại câu hỏi của hệ thống: có, không, cái thứ hai, hủy, một con số.</t>
  </si>
  <si>
    <t>Một phần giữ lại</t>
  </si>
  <si>
    <t>Danh sách câu trả lời theo từng loại câu hỏi của hệ thống</t>
  </si>
  <si>
    <t>Như M1</t>
  </si>
  <si>
    <t>Bước 1 đến 5</t>
  </si>
  <si>
    <t>Câu rất ngắn là điểm TTS dễ lỗi (PhoAudiobook: XTTS-v2 WER 37,81% trên VIVOS); cần theo dõi riêng.</t>
  </si>
  <si>
    <t>Tập đối chiếu ngoài miền xe (sinh)</t>
  </si>
  <si>
    <t>Người đọc</t>
  </si>
  <si>
    <t>Cùng giọng, cùng quy trình sinh và trộn nhiễu như M1 nhưng câu lấy từ tập thật ngoài miền xe. Dùng để tách ảnh hưởng của 'giọng sinh' khỏi ảnh hưởng của 'miền xe', và tránh việc ASR học 'âm thanh kiểu TTS là lệnh xe'.</t>
  </si>
  <si>
    <t>Không</t>
  </si>
  <si>
    <t>Transcript của bộ thật ngoài miền xe (chưa chọn; kiểm giấy phép từng bộ)</t>
  </si>
  <si>
    <t>Clone từ cùng kho giọng như M1</t>
  </si>
  <si>
    <t>Bước 2 đến 5</t>
  </si>
  <si>
    <t>Đề xuất của mình, chưa paper nào kiểm riêng thiết kế này. Không dùng câu của tập kiểm thử.</t>
  </si>
  <si>
    <t>M4</t>
  </si>
  <si>
    <t>Câu chẩn đoán để chọn mô hình TTS</t>
  </si>
  <si>
    <t>Bộ nhỏ chạy trên các mô hình TTS chưa tinh chỉnh để so sánh: câu rất ngắn, số, tên riêng, cặp thanh điệu, từ vùng, chuyển mã.</t>
  </si>
  <si>
    <t>Có (đánh giá TTS)</t>
  </si>
  <si>
    <t>Viết tay, cố định</t>
  </si>
  <si>
    <t>Một vài giọng mỗi vùng</t>
  </si>
  <si>
    <t>Chỉ dùng ở bước chọn mô hình</t>
  </si>
  <si>
    <t>Đo WER hai ASR, độ giống người nói, độ giống giọng vùng, nghe bản ngữ.</t>
  </si>
  <si>
    <t>M5</t>
  </si>
  <si>
    <t>Lời trợ lý phát ra loa trong xe</t>
  </si>
  <si>
    <t>Trợ lý</t>
  </si>
  <si>
    <t>Câu dẫn đường, cảnh báo, xác nhận mà trợ lý nói (47 câu mẫu của bảng v0.2 thuộc loại này).</t>
  </si>
  <si>
    <t>Không (ngoài phạm vi ASR)</t>
  </si>
  <si>
    <t>Bảng v0.2 (Mau_du_lieu cũ)</t>
  </si>
  <si>
    <t>Giọng trợ lý</t>
  </si>
  <si>
    <t>Ngoài phạm vi ASR; thuộc đánh giá TTS sản phẩm</t>
  </si>
  <si>
    <t>Giữ cho giai đoạn sau. Không đưa vào dữ liệu huấn luyện ASR.</t>
  </si>
  <si>
    <t>12 case study theo mục đích</t>
  </si>
  <si>
    <t>Mục đích chính: M1 người dùng nói lệnh, M2 câu trả lời ngắn, M5 trợ lý nói. Liên quan ASR là nhận định của mình dựa trên việc ai nói chủ yếu.</t>
  </si>
  <si>
    <t>Tên case</t>
  </si>
  <si>
    <t>Mô tả</t>
  </si>
  <si>
    <t>Mục đích chính</t>
  </si>
  <si>
    <t>Liên quan ASR</t>
  </si>
  <si>
    <t>Phần người dùng nói (M1, M2)</t>
  </si>
  <si>
    <t>Phần trợ lý nói (M5, ngoài ASR)</t>
  </si>
  <si>
    <t>Lý do và điểm khó</t>
  </si>
  <si>
    <t>Yếu tố trọng yếu (mã)</t>
  </si>
  <si>
    <t>Preset môi trường</t>
  </si>
  <si>
    <t>Câu mẫu M1</t>
  </si>
  <si>
    <t>Câu mẫu M2</t>
  </si>
  <si>
    <t>Trọng số (Chi_tieu)</t>
  </si>
  <si>
    <t>Số câu mục tiêu (Chi_tieu)</t>
  </si>
  <si>
    <t>CS01</t>
  </si>
  <si>
    <t>Dẫn đường</t>
  </si>
  <si>
    <t>Chỉ đường từng chặng: rẽ, khoảng cách, tên đường, đích đến.</t>
  </si>
  <si>
    <t>dẫn đường đến địa chỉ; hỏi còn bao xa; tìm đường tránh tắc; hỏi giờ đến; hủy dẫn đường</t>
  </si>
  <si>
    <t>báo rẽ, báo khoảng cách, báo đã đến, đổi lộ trình</t>
  </si>
  <si>
    <t>Người dùng nói địa chỉ, số nhà, tên đường nhiều nhất; tên riêng và từ địa phương (hẻm/ngõ, quẹo/rẽ) là lỗi hay gặp.</t>
  </si>
  <si>
    <t>E03; E04; S51; S53; S54; D01</t>
  </si>
  <si>
    <t>E02; E03; E12; E10; E13</t>
  </si>
  <si>
    <t>CS02</t>
  </si>
  <si>
    <t>Cảnh báo an toàn (ADAS)</t>
  </si>
  <si>
    <t>Cảnh báo va chạm, lệch làn, mệt mỏi, điểm mù, quá tốc độ.</t>
  </si>
  <si>
    <t>Hầu như không</t>
  </si>
  <si>
    <t>tắt hoặc bật cảnh báo; nói 'tôi ổn' khi bị nhắc mệt</t>
  </si>
  <si>
    <t>va chạm phía trước, lệch làn, người lái mệt, điểm mù, vượt tốc độ</t>
  </si>
  <si>
    <t>Gần như toàn bộ do hệ thống tự phát. Phần người dùng rất nhỏ nên chỉ lấy một lát để thử giọng mệt mỏi.</t>
  </si>
  <si>
    <t>D03; S21; S22; S23</t>
  </si>
  <si>
    <t>E03; E05; E07; E04; E14</t>
  </si>
  <si>
    <t>Trọng số sinh thấp.</t>
  </si>
  <si>
    <t>CS03</t>
  </si>
  <si>
    <t>Điều khiển xe</t>
  </si>
  <si>
    <t>Điều chỉnh điều hòa, ghế, cửa kính, cửa sổ trời, đèn trong xe bằng giọng nói.</t>
  </si>
  <si>
    <t>đặt nhiệt độ; sưởi ghế; hạ kính; chỉnh quạt; bật sấy kính</t>
  </si>
  <si>
    <t>xác nhận thông số</t>
  </si>
  <si>
    <t>Lệnh ngắn, nhiều thông số; có từ vùng (kính/kiếng, điều hòa/máy lạnh) và chuyển mã (air-con).</t>
  </si>
  <si>
    <t>E02; E03; S51; S52; S55; A04</t>
  </si>
  <si>
    <t>E01; E02; E06; E05</t>
  </si>
  <si>
    <t>Lõi của bộ M1.</t>
  </si>
  <si>
    <t>CS04</t>
  </si>
  <si>
    <t>Giải trí (nhạc, radio)</t>
  </si>
  <si>
    <t>Phát nhạc, chuyển kênh radio, chỉnh âm lượng.</t>
  </si>
  <si>
    <t>mở bài hoặc danh sách nhạc; chuyển kênh; chỉnh âm lượng; hỏi đang phát gì</t>
  </si>
  <si>
    <t>xác nhận bài, kênh</t>
  </si>
  <si>
    <t>Tên bài, tên kênh, từ mượn tiếng Anh; nhạc đang phát là nguồn ồn chính.</t>
  </si>
  <si>
    <t>E05; E07; S55; A07; A14</t>
  </si>
  <si>
    <t>E07; E02; E08; E17</t>
  </si>
  <si>
    <t>CS05</t>
  </si>
  <si>
    <t>Điện thoại và tin nhắn</t>
  </si>
  <si>
    <t>Báo cuộc gọi, đọc tin nhắn, gọi theo số hoặc tên.</t>
  </si>
  <si>
    <t>gọi tên; gọi số; đọc tin nhắn; trả lời tin nhắn</t>
  </si>
  <si>
    <t>báo cuộc gọi đến, đọc tin nhắn</t>
  </si>
  <si>
    <t>Số điện thoại, tên người, xưng hô theo vùng (mạ/má/mẹ); hành khách nói chen.</t>
  </si>
  <si>
    <t>E03; E06; S52; S53; A14</t>
  </si>
  <si>
    <t>E11; E02; E07; E15</t>
  </si>
  <si>
    <t>CS06</t>
  </si>
  <si>
    <t>Trạng thái xe và bảo dưỡng</t>
  </si>
  <si>
    <t>Báo áp suất lốp, nhiên liệu, bảo dưỡng định kỳ, đèn báo.</t>
  </si>
  <si>
    <t>Một phần</t>
  </si>
  <si>
    <t>hỏi áp suất lốp; hỏi nhiên liệu còn lại; hỏi lịch bảo dưỡng</t>
  </si>
  <si>
    <t>cảnh báo áp suất, nhiên liệu, đèn báo</t>
  </si>
  <si>
    <t>Phần lớn là hệ thống báo; người dùng chỉ hỏi lại, câu hỏi ngắn.</t>
  </si>
  <si>
    <t>E03; E07; D01</t>
  </si>
  <si>
    <t>E01; E02; E03</t>
  </si>
  <si>
    <t>CS07</t>
  </si>
  <si>
    <t>Sạc xe điện và trạm nhiên liệu</t>
  </si>
  <si>
    <t>Hỏi tình trạng pin, tìm trạm sạc, ước tính thời gian và chi phí sạc.</t>
  </si>
  <si>
    <t>hỏi pin còn lại; tìm trạm sạc; hỏi thời gian và chi phí sạc</t>
  </si>
  <si>
    <t>báo pin, trạm gần nhất, chi phí</t>
  </si>
  <si>
    <t>Số thập phân, phần trăm, tiền VND; cách đọc nghìn/ngàn theo vùng.</t>
  </si>
  <si>
    <t>E03; E07; S53</t>
  </si>
  <si>
    <t>E01; E08; E02</t>
  </si>
  <si>
    <t>CS08</t>
  </si>
  <si>
    <t>Giao thông và thời tiết</t>
  </si>
  <si>
    <t>Báo tắc đường, tai nạn, giờ đến dự kiến, dự báo thời tiết.</t>
  </si>
  <si>
    <t>hỏi tắc đường phía trước; hỏi thời tiết; hỏi giờ đến</t>
  </si>
  <si>
    <t>bản tin giao thông, thời tiết</t>
  </si>
  <si>
    <t>Tên địa danh, giờ, khoảng giá trị; từ vùng (kẹt xe/tắc đường).</t>
  </si>
  <si>
    <t>E03; E04; S51; D01</t>
  </si>
  <si>
    <t>E12; E04; E02</t>
  </si>
  <si>
    <t>CS09</t>
  </si>
  <si>
    <t>Khẩn cấp và cứu hộ</t>
  </si>
  <si>
    <t>Phát hiện va chạm nghiêm trọng, sự cố pin, gọi cấp cứu và cứu hộ.</t>
  </si>
  <si>
    <t>gọi cấp cứu; nói 'tôi ổn'; kêu cứu; gọi cứu hộ</t>
  </si>
  <si>
    <t>hỏi thăm, gửi vị trí, hướng dẫn rời xe</t>
  </si>
  <si>
    <t>Người dùng nói trong căng thẳng, to, nhanh, cao giọng (Lombard, cảm xúc). Khó sinh và chưa có bằng chứng; số mẫu ít.</t>
  </si>
  <si>
    <t>D03; S21; S22; S23; S24; E08</t>
  </si>
  <si>
    <t>E03; E01; E04; E17</t>
  </si>
  <si>
    <t>Khó nhất về mặt giọng.</t>
  </si>
  <si>
    <t>CS10</t>
  </si>
  <si>
    <t>Hội thoại và gợi ý chủ động</t>
  </si>
  <si>
    <t>Gợi ý lịch trình, quán gần đây, nhắc việc, hỏi đáp tự nhiên.</t>
  </si>
  <si>
    <t>nhắc việc; hỏi quán gần đây; cảm ơn; hỏi đáp chung</t>
  </si>
  <si>
    <t>gợi ý, nhắc lịch</t>
  </si>
  <si>
    <t>Câu dài hơn, câu cụt, chuyển mã Anh–Việt; đa dạng diễn đạt lớn nhất.</t>
  </si>
  <si>
    <t>E05; E06; E08; S23; S33; S55</t>
  </si>
  <si>
    <t>E01; E02; E08</t>
  </si>
  <si>
    <t>CS11</t>
  </si>
  <si>
    <t>Hành khách và trẻ em</t>
  </si>
  <si>
    <t>Thông báo cho khoang sau, nhắc dây an toàn ghế sau, nói chuyện với trẻ.</t>
  </si>
  <si>
    <t>trẻ nhờ mở nhạc; người lớn ra lệnh cho khoang sau; tắt loa sau</t>
  </si>
  <si>
    <t>nhắc dây an toàn, chế độ yên tĩnh khoang sau</t>
  </si>
  <si>
    <t>Cần giọng trẻ em, vốn không tạo được từ giọng người lớn một cách đáng tin; cần nguồn giọng trẻ thật có đồng ý.</t>
  </si>
  <si>
    <t>S12; A14; E06; S21</t>
  </si>
  <si>
    <t>E02; E07; E08</t>
  </si>
  <si>
    <t>Chỉ làm khi có nguồn giọng trẻ em.</t>
  </si>
  <si>
    <t>CS12</t>
  </si>
  <si>
    <t>Lỗi, làm rõ và ngoại tuyến</t>
  </si>
  <si>
    <t>Xử lý khi không nghe rõ, trùng tên, mất mạng, tính năng chưa hỗ trợ.</t>
  </si>
  <si>
    <t>nói lại; sửa 'không phải, ý tôi là…'; chọn cái thứ hai; hủy</t>
  </si>
  <si>
    <t>xin lỗi, hỏi lại, báo mất mạng</t>
  </si>
  <si>
    <t>Phần lớn là câu trả lời rất ngắn, đúng chỗ TTS dễ lỗi và ASR dễ nhầm.</t>
  </si>
  <si>
    <t>E08; S23; S33; E06</t>
  </si>
  <si>
    <t>E02; E03; E07; E10; E16</t>
  </si>
  <si>
    <t>Gần hết là M2.</t>
  </si>
  <si>
    <t>Mã yếu tố dùng ở cột I xem sheet Yeu_to. Số câu mục tiêu và trọng số lấy từ sheet Chi_tieu (sửa ở đó).</t>
  </si>
  <si>
    <t>71 yếu tố ảnh hưởng: bước xử lý chính và cách xử lý</t>
  </si>
  <si>
    <t>Bước xử lý chính là nơi yếu tố được giải quyết; bước phụ là nơi cần kiểm hoặc hỗ trợ. Bằng chứng ghi nguồn và giới hạn; 'Chưa có bằng chứng đã đọc' nghĩa là mình chưa có bài báo nào cho điểm này.</t>
  </si>
  <si>
    <t>Nhóm</t>
  </si>
  <si>
    <t>Nhóm con</t>
  </si>
  <si>
    <t>Yếu tố</t>
  </si>
  <si>
    <t>Mức</t>
  </si>
  <si>
    <t>Phía</t>
  </si>
  <si>
    <t>Bước xử lý chính</t>
  </si>
  <si>
    <t>Bước phụ</t>
  </si>
  <si>
    <t>Cách xử lý</t>
  </si>
  <si>
    <t>Bằng chứng</t>
  </si>
  <si>
    <t>Tác động</t>
  </si>
  <si>
    <t>Chỉ số đo</t>
  </si>
  <si>
    <t>Ưu tiên</t>
  </si>
  <si>
    <t>Dữ liệu thật</t>
  </si>
  <si>
    <t>Số câu mẫu phủ</t>
  </si>
  <si>
    <t>1. Nhiễu và âm thanh nền</t>
  </si>
  <si>
    <t>1.1 Nguồn ồn từ chính chiếc xe</t>
  </si>
  <si>
    <t>A01</t>
  </si>
  <si>
    <t>Tiếng lốp và mặt đường</t>
  </si>
  <si>
    <t>Loại mặt đường (nhựa mịn, bê tông, sỏi); tốc độ. Chỉ dẫn: Tăng theo tốc độ, năng lượng ở dải thấp đến trung</t>
  </si>
  <si>
    <t>Cả hai</t>
  </si>
  <si>
    <t>4. Trộn nhiễu và mô phỏng khoang xe (sau TTS)</t>
  </si>
  <si>
    <t>Trộn sau khi có âm thanh sạch; ghi nguồn ồn và snr_actual_dB; dùng nhiều nguồn ồn và ồn đổi giữa câu.</t>
  </si>
  <si>
    <t>Trộn nhiễu giảm WER khoảng 5,1%, nhiễu cộng vang khoảng 6,6% (Ogun et al. 2025; Common Voice tiếng Anh, 50 giờ thật; cần kiểm chứng cho tiếng Việt).</t>
  </si>
  <si>
    <t>Che nguyên âm và thanh điệu</t>
  </si>
  <si>
    <t>WER/CER theo SNR; nghe kiểm thanh điệu</t>
  </si>
  <si>
    <t>Cao</t>
  </si>
  <si>
    <t>Thu mẫu nhỏ làm mốc</t>
  </si>
  <si>
    <t>Không do câu quyết định</t>
  </si>
  <si>
    <t>A02</t>
  </si>
  <si>
    <t>Tiếng gió</t>
  </si>
  <si>
    <t>Tốc độ; cửa kính; cửa sổ trời. Chỉ dẫn: Tăng mạnh khi mở cửa kính</t>
  </si>
  <si>
    <t>Nhiễu băng rộng, che phụ âm xát</t>
  </si>
  <si>
    <t>WER; độ rõ phụ âm</t>
  </si>
  <si>
    <t>A03</t>
  </si>
  <si>
    <t>Động cơ hoặc mô-tơ điện</t>
  </si>
  <si>
    <t>Xăng/dầu/hybrid/điện; vòng tua. Chỉ dẫn: Xe điện nền thấp nhưng có tiếng rít điện</t>
  </si>
  <si>
    <t>Xe điện làm lỗi nhỏ của TTS lộ rõ hơn</t>
  </si>
  <si>
    <t>MOS; WER</t>
  </si>
  <si>
    <t>Trung bình</t>
  </si>
  <si>
    <t>A04</t>
  </si>
  <si>
    <t>Quạt điều hòa</t>
  </si>
  <si>
    <t>Mức 0–5; hướng gió. Chỉ dẫn: Mức cao tạo nhiễu băng rộng ở trung–cao</t>
  </si>
  <si>
    <t>Che phụ âm, giảm độ rõ</t>
  </si>
  <si>
    <t>WER theo mức quạt</t>
  </si>
  <si>
    <t>A09</t>
  </si>
  <si>
    <t>Rung và tiếng cấu trúc</t>
  </si>
  <si>
    <t>Đường xấu, gờ giảm tốc, mặt cầu. Chỉ dẫn: Xung va chạm ngắt quãng</t>
  </si>
  <si>
    <t>Ngắt âm tiết ngắn</t>
  </si>
  <si>
    <t>WER</t>
  </si>
  <si>
    <t>Thấp</t>
  </si>
  <si>
    <t>1.2 Nguồn ồn từ bên ngoài xe</t>
  </si>
  <si>
    <t>A05</t>
  </si>
  <si>
    <t>Mưa và gạt nước</t>
  </si>
  <si>
    <t>Mưa nhỏ/to; tốc độ gạt. Chỉ dẫn: Mưa to là một trong các nền ồn cao</t>
  </si>
  <si>
    <t>Nhiễu xung lặp theo nhịp gạt</t>
  </si>
  <si>
    <t>WER; ổn định giọng</t>
  </si>
  <si>
    <t>A06</t>
  </si>
  <si>
    <t>Giao thông bên ngoài (còi, xe máy)</t>
  </si>
  <si>
    <t>Mật độ xe máy; còi liên tục. Chỉ dẫn: Xung ngắn, cường độ cao</t>
  </si>
  <si>
    <t>Che mất âm tiết ngắn; cảnh báo ngắn dễ bị nuốt</t>
  </si>
  <si>
    <t>WER; tỷ lệ âm tiết bị mất</t>
  </si>
  <si>
    <t>A10</t>
  </si>
  <si>
    <t>Hầm, cầu, gầm cầu</t>
  </si>
  <si>
    <t>Phản xạ lớn, nền ồn tăng, có thể mất mạng. Chỉ dẫn: Vang dài</t>
  </si>
  <si>
    <t>Vang làm nhòe âm tiết; mất mạng ảnh hưởng TTS đám mây</t>
  </si>
  <si>
    <t>WER; hoạt động ngoại tuyến</t>
  </si>
  <si>
    <t>1.3 Nguồn ồn từ bên trong khoang</t>
  </si>
  <si>
    <t>A07</t>
  </si>
  <si>
    <t>Nhạc hoặc radio đang phát</t>
  </si>
  <si>
    <t>Nhỏ/lớn; có lời hay không lời; bật/tắt ducking. Chỉ dẫn: Cạnh tranh phổ với giọng nói</t>
  </si>
  <si>
    <t>Che giọng khi nhạc có lời</t>
  </si>
  <si>
    <t>WER có/không ducking</t>
  </si>
  <si>
    <t>A08</t>
  </si>
  <si>
    <t>Hành khách nói chuyện, trẻ em</t>
  </si>
  <si>
    <t>Số người; trẻ khóc hoặc la. Chỉ dẫn: Tiếng người cạnh tranh, khó lọc</t>
  </si>
  <si>
    <t>Gây phân tâm, làm giảm độ rõ</t>
  </si>
  <si>
    <t>WER; đánh giá mức phân tâm</t>
  </si>
  <si>
    <t>A13</t>
  </si>
  <si>
    <t>Âm báo của xe cạnh tranh với giọng trợ lý</t>
  </si>
  <si>
    <t>Chuông cảnh báo, xi-nhan, bíp lùi, nhắc dây an toàn, âm ADAS: ngắn, lặp, dải trung–cao</t>
  </si>
  <si>
    <t>Chưa có bằng chứng đã đọc.</t>
  </si>
  <si>
    <t>Chồng lên thông báo, che từ quan trọng; thứ tự ưu tiên giữa âm báo và giọng chưa rõ</t>
  </si>
  <si>
    <t>WER đoạn bị chồng; tỷ lệ nghe được từ khóa</t>
  </si>
  <si>
    <t>Đo trực tiếp</t>
  </si>
  <si>
    <t>A14</t>
  </si>
  <si>
    <t>Người khác nói chồng lên lệnh người dùng</t>
  </si>
  <si>
    <t>Hành khách nói chen khi người lái ra lệnh; chồng lấn từng phần hoặc hoàn toàn</t>
  </si>
  <si>
    <t>Đầu vào (ASR)</t>
  </si>
  <si>
    <t>2. Chọn giọng và đoạn tham chiếu</t>
  </si>
  <si>
    <t>Cần giọng thứ hai: lấy từ cùng kho giọng clone, trộn ở nhiều mức chồng lấn.</t>
  </si>
  <si>
    <t>Khác với nền tiếng người (babble): ở đây hai giọng rõ ràng cùng lúc, hệ thống có thể nhận nhầm người ra lệnh</t>
  </si>
  <si>
    <t>WER; tỷ lệ nhận đúng người ra lệnh</t>
  </si>
  <si>
    <t>Không thu được, phải tạo</t>
  </si>
  <si>
    <t>1.4 Tính chất thay đổi theo thời gian</t>
  </si>
  <si>
    <t>A11</t>
  </si>
  <si>
    <t>Nhiều nguồn ồn cùng lúc</t>
  </si>
  <si>
    <t>Ví dụ gió + lốp + nhạc + quạt; ồn tổng tính theo năng lượng, không phải cộng mức dB</t>
  </si>
  <si>
    <t>6. Chỉ để đánh giá</t>
  </si>
  <si>
    <t>Cấu hình thực tế khó hơn từng nguồn riêng lẻ; model chỉ thử với một nguồn sẽ đánh giá quá lạc quan</t>
  </si>
  <si>
    <t>WER theo số nguồn ồn</t>
  </si>
  <si>
    <t>A12</t>
  </si>
  <si>
    <t>Ồn không dừng, đổi giữa câu</t>
  </si>
  <si>
    <t>Mở kính, vào hầm, đi qua cầu, còi bất chợt, tăng tốc khi đang đọc</t>
  </si>
  <si>
    <t>SNR đổi giữa chừng: đầu câu rõ nhưng cuối câu bị che; ồn nền cố định che mất hiện tượng này</t>
  </si>
  <si>
    <t>WER theo đoạn đầu và đoạn cuối câu</t>
  </si>
  <si>
    <t>2. Khoang xe và thiết bị âm thanh</t>
  </si>
  <si>
    <t>2.1 Hình học, vật liệu, vị trí nghe</t>
  </si>
  <si>
    <t>B01</t>
  </si>
  <si>
    <t>Kích thước và vật liệu nội thất</t>
  </si>
  <si>
    <t>Sedan/SUV/MPV; da, vải, kính. Chỉ dẫn: Thời gian vang khác nhau theo xe</t>
  </si>
  <si>
    <t>Vang làm nhòe âm tiết, đổi nhịp nghe</t>
  </si>
  <si>
    <t>WER; độ rõ (STOI)</t>
  </si>
  <si>
    <t>B03</t>
  </si>
  <si>
    <t>Vị trí tai người nghe</t>
  </si>
  <si>
    <t>Ghế lái, ghế phụ, ghế sau. Chỉ dẫn: Mức và vang khác nhau theo ghế</t>
  </si>
  <si>
    <t>Đầu ra (TTS)</t>
  </si>
  <si>
    <t>Ngoài phạm vi ASR (phía loa hoặc hệ thống)</t>
  </si>
  <si>
    <t>Không đưa vào dữ liệu ASR; giữ cho đánh giá TTS sản phẩm (M5).</t>
  </si>
  <si>
    <t>Người ngồi sau nghe kém hơn</t>
  </si>
  <si>
    <t>WER theo ghế</t>
  </si>
  <si>
    <t>B10</t>
  </si>
  <si>
    <t>Điểm đo và hiệu chuẩn mức</t>
  </si>
  <si>
    <t>Mức ồn tại tai người nghe khác mức tại mic; cần ghi vị trí đo và hiệu chuẩn bằng máy đo SPL</t>
  </si>
  <si>
    <t>Đưa vào bộ đánh giá; không dùng làm điều khiển khi sinh.</t>
  </si>
  <si>
    <t>Nếu mỗi nơi đo một điểm, các giá trị dB(A) và SNR không so sánh được với nhau; giá trị hiện trong file vẫn là chỉ dẫn chưa đo</t>
  </si>
  <si>
    <t>Sai số hiệu chuẩn (dB)</t>
  </si>
  <si>
    <t>2.2 Loa, mức phát, vùng phát, khử vọng</t>
  </si>
  <si>
    <t>B02</t>
  </si>
  <si>
    <t>Vị trí và số lượng loa</t>
  </si>
  <si>
    <t>4, 6, 8 loa trở lên; loa headrest. Chỉ dẫn: Phổ và hướng âm khác nhau</t>
  </si>
  <si>
    <t>Một số dải bị yếu hoặc nhấn quá mức</t>
  </si>
  <si>
    <t>Độ rõ; MOS</t>
  </si>
  <si>
    <t>B04</t>
  </si>
  <si>
    <t>Mức phát và bù âm theo tốc độ</t>
  </si>
  <si>
    <t>Âm lượng mặc định; bù theo tốc độ. Chỉ dẫn: Phụ thuộc cấu hình hệ thống âm thanh xe</t>
  </si>
  <si>
    <t>TTS cần to hơn khi nền ồn tăng</t>
  </si>
  <si>
    <t>SNR tại tai; độ rõ</t>
  </si>
  <si>
    <t>B05</t>
  </si>
  <si>
    <t>Tiếng vọng và ngắt lời (AEC, barge-in)</t>
  </si>
  <si>
    <t>Người dùng nói chen khi TTS đang phát. Chỉ dẫn: Tiếng TTS lọt vào mic</t>
  </si>
  <si>
    <t>5. Chuỗi xử lý đầu vào (sau trộn)</t>
  </si>
  <si>
    <t>Áp cùng chuỗi xử lý khi tạo dữ liệu và khi chạy thật.</t>
  </si>
  <si>
    <t>Ảnh hưởng nhận dạng giọng nói và việc dừng TTS</t>
  </si>
  <si>
    <t>Tỷ lệ ngắt đúng; WER ASR</t>
  </si>
  <si>
    <t>B06</t>
  </si>
  <si>
    <t>Vùng âm thanh (zone)</t>
  </si>
  <si>
    <t>Chỉ người lái; toàn khoang; riêng ghế sau. Chỉ dẫn: Thông báo gửi đúng vùng</t>
  </si>
  <si>
    <t>Lộ nội dung hoặc làm phiền người không liên quan</t>
  </si>
  <si>
    <t>Tỷ lệ phát đúng vùng</t>
  </si>
  <si>
    <t>B08</t>
  </si>
  <si>
    <t>Méo và giới hạn công suất của loa</t>
  </si>
  <si>
    <t>Méo phi tuyến, bị cắt đỉnh (clipping) khi âm lượng cao; giới hạn của bộ khuếch đại</t>
  </si>
  <si>
    <t>TTS phát to hơn để thắng ồn nhưng bị méo, làm giảm độ rõ thay vì tăng</t>
  </si>
  <si>
    <t>THD+N; WER theo mức phát</t>
  </si>
  <si>
    <t>B09</t>
  </si>
  <si>
    <t>EQ và chế độ âm thanh của xe</t>
  </si>
  <si>
    <t>Tăng bass, loudness, âm thanh vòm, các chế độ nhạc</t>
  </si>
  <si>
    <t>Đổi phổ giọng; nhấn bass che nguyên âm, giọng nam bị đục</t>
  </si>
  <si>
    <t>Độ rõ; MOS theo chế độ EQ</t>
  </si>
  <si>
    <t>2.3 Micro và thu đầu vào</t>
  </si>
  <si>
    <t>B07</t>
  </si>
  <si>
    <t>Vị trí, số lượng và kiểu micro</t>
  </si>
  <si>
    <t>Micro trần, táp-lô; một mic hoặc mảng 2–4 mic; định hướng theo ghế (beamforming)</t>
  </si>
  <si>
    <t>Quyết định SNR của giọng người dùng và có nghe được hành khách ghế khác hay không</t>
  </si>
  <si>
    <t>WER theo ghế và theo cấu hình mic</t>
  </si>
  <si>
    <t>3. Chuỗi tín hiệu và hệ thống</t>
  </si>
  <si>
    <t>3.1 Mã hóa, băng thông, đường truyền</t>
  </si>
  <si>
    <t>C01</t>
  </si>
  <si>
    <t>Tần số lấy mẫu và băng thông</t>
  </si>
  <si>
    <t>16 kHz; 22,05 kHz; 24 kHz; 44,1–48 kHz. Chỉ dẫn: Băng thông thấp mất thông tin ở dải cao</t>
  </si>
  <si>
    <t>Mất phụ âm xát, âm nghe nghẹt</t>
  </si>
  <si>
    <t>MOS; độ rõ</t>
  </si>
  <si>
    <t>Không cần dữ liệu thu (tất định, văn bản hoặc đo hệ thống)</t>
  </si>
  <si>
    <t>C02</t>
  </si>
  <si>
    <t>Bluetooth (HFP, A2DP)</t>
  </si>
  <si>
    <t>HFP băng hẹp (8 kHz) hoặc rộng (16 kHz); A2DP. Chỉ dẫn: Chất lượng giảm khi nén</t>
  </si>
  <si>
    <t>Mất chi tiết, tiếng rè, nghe kém</t>
  </si>
  <si>
    <t>WER qua Bluetooth</t>
  </si>
  <si>
    <t>C03</t>
  </si>
  <si>
    <t>Chuẩn hóa độ lớn và nén động</t>
  </si>
  <si>
    <t>Mục tiêu độ lớn (LUFS); nén động (DRC). Chỉ dẫn: Cần ổn định giữa các câu và giữa các giọng</t>
  </si>
  <si>
    <t>Câu to nhỏ không đều gây khó chịu</t>
  </si>
  <si>
    <t>Độ lệch độ lớn giữa các câu</t>
  </si>
  <si>
    <t>C06</t>
  </si>
  <si>
    <t>Chạy trên thiết bị và trên đám mây</t>
  </si>
  <si>
    <t>Mất mạng; lượng tử hóa; giới hạn bộ nhớ. Chỉ dẫn: Chất lượng có thể giảm khi nén mô hình</t>
  </si>
  <si>
    <t>Giảm chất lượng giọng; mất mạng giữa chừng</t>
  </si>
  <si>
    <t>MOS; WER; tỷ lệ phục vụ được ngoại tuyến</t>
  </si>
  <si>
    <t>C09</t>
  </si>
  <si>
    <t>Codec cuộc gọi và kết nối điện thoại</t>
  </si>
  <si>
    <t>CarPlay, Android Auto, cuộc gọi VoIP; băng hẹp hoặc băng rộng</t>
  </si>
  <si>
    <t>Giọng bị nén theo codec của cuộc gọi, khác với Bluetooth phát nhạc</t>
  </si>
  <si>
    <t>WER qua codec; độ dễ nghe</t>
  </si>
  <si>
    <t>3.2 Độ trễ và điều phối thông báo</t>
  </si>
  <si>
    <t>C04</t>
  </si>
  <si>
    <t>Độ trễ và phát luồng</t>
  </si>
  <si>
    <t>Thời gian đến âm đầu (TTFA); kích thước đoạn. Chỉ dẫn: Cảnh báo cần trễ rất thấp</t>
  </si>
  <si>
    <t>Trễ làm mất giá trị của cảnh báo và dẫn đường</t>
  </si>
  <si>
    <t>TTFA (p50, p95)</t>
  </si>
  <si>
    <t>C05</t>
  </si>
  <si>
    <t>Ưu tiên và ngắt thông báo</t>
  </si>
  <si>
    <t>Cảnh báo &gt; dẫn đường &gt; giải trí. Chỉ dẫn: Quy tắc xếp hàng và ngắt</t>
  </si>
  <si>
    <t>Thông báo quan trọng bị cắt hoặc chờ</t>
  </si>
  <si>
    <t>Tỷ lệ phát đúng thứ tự</t>
  </si>
  <si>
    <t>3.3 Xử lý đầu vào và mạng</t>
  </si>
  <si>
    <t>C07</t>
  </si>
  <si>
    <t>Khử ồn, AGC và khử vọng ở đầu vào</t>
  </si>
  <si>
    <t>Bộ lọc nhiễu, tự động chỉnh độ lợi, khử vọng chạy trước bộ nhận dạng</t>
  </si>
  <si>
    <t>Có thể làm méo giọng người nói hoặc cắt mất đầu câu; model ASR cần quen với âm thanh sau xử lý</t>
  </si>
  <si>
    <t>WER trước và sau xử lý</t>
  </si>
  <si>
    <t>C08</t>
  </si>
  <si>
    <t>Mạng không ổn định khi TTS chạy đám mây</t>
  </si>
  <si>
    <t>Trễ biến động (jitter), mất gói, chờ đệm, mất mạng giữa câu</t>
  </si>
  <si>
    <t>Giọng bị ngắt quãng hoặc trễ; cảnh báo đến muộn</t>
  </si>
  <si>
    <t>Tỷ lệ ngắt quãng; TTFA p95</t>
  </si>
  <si>
    <t>4. Người nói</t>
  </si>
  <si>
    <t>4.1 Sinh lý và tần số giọng</t>
  </si>
  <si>
    <t>S11</t>
  </si>
  <si>
    <t>Giới tính</t>
  </si>
  <si>
    <t>Nam / Nữ</t>
  </si>
  <si>
    <t>Đặt hạn ngạch người nói ở Chi_tieu; chọn đoạn tham chiếu theo hồ sơ ở Ho_so_nguoi_noi.</t>
  </si>
  <si>
    <t>Thêm người nói chỉ giảm WER khoảng 2%; khoảng 50–100 người nói là đủ (Ogun et al.; Versatile TTS).</t>
  </si>
  <si>
    <t>Quyết định dải F0 và vị trí formant; chọn giọng TTS nên hợp ngữ cảnh người nghe</t>
  </si>
  <si>
    <t>Tỷ lệ mẫu theo giới</t>
  </si>
  <si>
    <t>S12</t>
  </si>
  <si>
    <t>Nhóm tuổi</t>
  </si>
  <si>
    <t>Trẻ em; thiếu niên; thanh niên; trung niên; cao tuổi</t>
  </si>
  <si>
    <t>Trẻ em và người cao tuổi: cần nguồn giọng thật có đồng ý. Không tạo từ giọng người lớn bằng dịch cao độ (nhận định của mình, chưa kiểm chứng); nếu không có nguồn thì để ngoài phạm vi.</t>
  </si>
  <si>
    <t>Trẻ em có F0 cao và phát âm chưa ổn định; người cao tuổi giọng run, tốc độ chậm, nhận dạng kém hơn</t>
  </si>
  <si>
    <t>Tỷ lệ mẫu theo nhóm tuổi; WER theo nhóm tuổi</t>
  </si>
  <si>
    <t>S13</t>
  </si>
  <si>
    <t>Tần số giọng trung bình (F0)</t>
  </si>
  <si>
    <t>Dải Thấp / Trung bình / Cao / Rất cao (ngưỡng chỉ dẫn ở sheet Ho_so_nguoi_noi)</t>
  </si>
  <si>
    <t>Chọn người nói có F0 tự nhiên khác nhau; không dịch cao độ để tăng độ phủ F0.</t>
  </si>
  <si>
    <t>Dịch cao độ và đổi giọng để tăng đa dạng người nói không hiệu quả (Ogun et al.: WER tệ hơn 0,8% và 2,2%).</t>
  </si>
  <si>
    <t>F0 thấp dễ bị tiếng ồn dải thấp của lốp, động cơ che; F0 cao ít bị che nhưng nhạy với nhiễu quạt và gió ở dải trung–cao</t>
  </si>
  <si>
    <t>F0 trung bình đo được so với dải khai báo</t>
  </si>
  <si>
    <t>S14</t>
  </si>
  <si>
    <t>Khoảng biến thiên F0 (cao độ trong câu)</t>
  </si>
  <si>
    <t>Khoảng F0 theo nửa cung hoặc Hz; độ lệch chuẩn F0</t>
  </si>
  <si>
    <t>3. Điều khiển khi sinh TTS</t>
  </si>
  <si>
    <t>Điều khiển khi sinh (tốc độ, phong cách, tham chiếu) rồi đo lại bằng căn chỉnh hoặc nghe kiểm.</t>
  </si>
  <si>
    <t>Tiếng Việt có 6 thanh điệu nên đường nét F0 mang nghĩa; nhiễu che đường nét làm nghe nhầm thanh</t>
  </si>
  <si>
    <t>Khoảng F0 (nửa cung) so với giọng tham chiếu</t>
  </si>
  <si>
    <t>S15</t>
  </si>
  <si>
    <t>Formant và độ dài đường thanh</t>
  </si>
  <si>
    <t>F1–F3 của nguyên âm; khác nhau theo giới và tuổi</t>
  </si>
  <si>
    <t>Ảnh hưởng độ rõ nguyên âm; formant dịch khi nói trong ồn</t>
  </si>
  <si>
    <t>Formant F1–F3 theo nhóm</t>
  </si>
  <si>
    <t>S16</t>
  </si>
  <si>
    <t>Chất giọng</t>
  </si>
  <si>
    <t>Bình thường; khàn; thều thào/hơi gió; căng/the thé; nghẹt mũi</t>
  </si>
  <si>
    <t>Giọng khàn hoặc nghẹt mũi làm sai lệch đặc trưng phổ, ASR dễ lỗi</t>
  </si>
  <si>
    <t>WER theo chất giọng</t>
  </si>
  <si>
    <t>4.2 Trạng thái người nói</t>
  </si>
  <si>
    <t>S21</t>
  </si>
  <si>
    <t>Cảm xúc</t>
  </si>
  <si>
    <t>Bình thường; vui; tức giận; lo lắng/sợ hãi</t>
  </si>
  <si>
    <t>Làm đổi F0, tốc độ, âm lượng; ASR cần chịu được biến thiên này</t>
  </si>
  <si>
    <t>WER theo nhãn cảm xúc</t>
  </si>
  <si>
    <t>S22</t>
  </si>
  <si>
    <t>Mệt mỏi, buồn ngủ</t>
  </si>
  <si>
    <t>Nói chậm, nhỏ, đều đều</t>
  </si>
  <si>
    <t>Giảm âm lượng và độ rõ; liên quan trực tiếp đến cảnh báo mệt mỏi của xe</t>
  </si>
  <si>
    <t>WER theo nhãn mệt mỏi</t>
  </si>
  <si>
    <t>S23</t>
  </si>
  <si>
    <t>Căng thẳng, vội, tải nhận thức cao</t>
  </si>
  <si>
    <t>Nói nhanh, ngập ngừng, câu cụt</t>
  </si>
  <si>
    <t>1. Thiết kế câu (văn bản)</t>
  </si>
  <si>
    <t>Phủ bằng mẫu câu × khe (sheet Mau_khung) và câu mẫu (Mau_cau); kiểm bằng cột factors_covered và ma trận Ma_tran.</t>
  </si>
  <si>
    <t>Câu thiếu chủ ngữ, lặp từ, bỏ đoạn; khó khớp lệnh mẫu</t>
  </si>
  <si>
    <t>WER theo tải nhận thức; tỷ lệ câu cụt</t>
  </si>
  <si>
    <t>S24</t>
  </si>
  <si>
    <t>Hiệu ứng Lombard</t>
  </si>
  <si>
    <t>Người nói tăng âm lượng, F0 và kéo dài nguyên âm khi nền ồn tăng</t>
  </si>
  <si>
    <t>Chưa có cách đã kiểm chứng. Nếu mô phỏng thì gắn nhãn lombard_applied = Mô phỏng; ưu tiên thu thật một tập nhỏ nếu làm được.</t>
  </si>
  <si>
    <t>Có paper TTS mô phỏng hiệu ứng Lombard nhưng mới đọc phần tóm tắt, chưa có số liệu ASR (Akti và Waibel 2026).</t>
  </si>
  <si>
    <t>Đây là phản xạ tự nhiên trong ồn; dữ liệu thu ở nơi yên tĩnh không có đặc điểm này</t>
  </si>
  <si>
    <t>So sánh mức, F0, phổ giữa mẫu có và không có Lombard; WER</t>
  </si>
  <si>
    <t>S25</t>
  </si>
  <si>
    <t>Sức khỏe giọng tạm thời</t>
  </si>
  <si>
    <t>Cảm, ho, khản tiếng</t>
  </si>
  <si>
    <t>Thay đổi chất giọng trong thời gian ngắn</t>
  </si>
  <si>
    <t>WER theo nhãn sức khỏe giọng</t>
  </si>
  <si>
    <t>4.3 Cách nói</t>
  </si>
  <si>
    <t>S31</t>
  </si>
  <si>
    <t>Tốc độ nói</t>
  </si>
  <si>
    <t>Chậm / Vừa / Nhanh; số âm tiết mỗi giây</t>
  </si>
  <si>
    <t>Điều khiển tốc độ bằng tham số của mô hình TTS; đo lại âm tiết mỗi giây.</t>
  </si>
  <si>
    <t>Nói nhanh làm nuốt âm cuối và lẫn thanh; TTS nói nhanh dễ bị ồn che</t>
  </si>
  <si>
    <t>Âm tiết mỗi giây đo từ căn chỉnh; WER theo tốc độ</t>
  </si>
  <si>
    <t>S32</t>
  </si>
  <si>
    <t>Âm lượng giọng</t>
  </si>
  <si>
    <t>Nhỏ / vừa / to; mức dB tại mic</t>
  </si>
  <si>
    <t>Quyết định SNR của giọng người dùng; với TTS là mức phát</t>
  </si>
  <si>
    <t>SNR thực tế; độ lớn (LUFS)</t>
  </si>
  <si>
    <t>S33</t>
  </si>
  <si>
    <t>Cao độ và ngữ điệu</t>
  </si>
  <si>
    <t>Đi lên, đi xuống, phẳng; ngữ điệu hỏi hoặc ra lệnh</t>
  </si>
  <si>
    <t>Ngữ điệu hỏi dễ bị nhầm với thanh hỏi/sắc ở cuối câu</t>
  </si>
  <si>
    <t>Đường nét F0; tỷ lệ nghe đúng thanh điệu</t>
  </si>
  <si>
    <t>S34</t>
  </si>
  <si>
    <t>Ngắt nghỉ và nhịp</t>
  </si>
  <si>
    <t>Số lần dừng; độ dài khoảng dừng</t>
  </si>
  <si>
    <t>Ngắt sai chỗ làm lệch nghĩa; trong xe cần ngắt rõ để người nghe kịp xử lý</t>
  </si>
  <si>
    <t>Số lần dừng và độ dài khoảng dừng; đánh giá người nghe</t>
  </si>
  <si>
    <t>S35</t>
  </si>
  <si>
    <t>Khoảng cách và hướng nói tới micro</t>
  </si>
  <si>
    <t>Ngồi ghế lái, ghế phụ, ghế sau; quay đầu</t>
  </si>
  <si>
    <t>Mức giọng và vang thay đổi theo tư thế</t>
  </si>
  <si>
    <t>Tỷ lệ trực tiếp/vang (DRR); WER theo khoảng cách</t>
  </si>
  <si>
    <t>4.4 Giọng vùng miền và cách phát âm</t>
  </si>
  <si>
    <t>S41</t>
  </si>
  <si>
    <t>Vùng giọng</t>
  </si>
  <si>
    <t>Bắc Bộ; Bắc Trung Bộ; Nam Trung Bộ; Tây Nguyên; Nam Bộ; giọng pha</t>
  </si>
  <si>
    <t>Tinh chỉnh TTS (tùy chọn)</t>
  </si>
  <si>
    <t>Đoạn tham chiếu cùng vùng với nhãn câu; tách Bắc Trung Bộ và Nam Trung Bộ; kiểm bằng bộ phân loại và người bản ngữ; nếu giọng bị kéo về giọng chuẩn thì tinh chỉnh theo vùng.</t>
  </si>
  <si>
    <t>Zero-shot giữ giọng người nói nhưng kéo giọng vùng về giọng chuẩn; tinh chỉnh cải thiện độ giống giọng vùng (Singlish, tiếng Anh; chưa có cho tiếng Việt).</t>
  </si>
  <si>
    <t>Giọng lạ làm giảm độ dễ hiểu và độ chính xác nhận dạng; TTS nên có giọng phù hợp vùng người dùng</t>
  </si>
  <si>
    <t>Tỷ lệ mẫu theo vùng; độ đúng vùng theo bộ phân loại phương ngữ; MOS của người nghe bản ngữ</t>
  </si>
  <si>
    <t>S42</t>
  </si>
  <si>
    <t>Mức đậm của giọng địa phương</t>
  </si>
  <si>
    <t>Nhẹ / Vừa / Đậm</t>
  </si>
  <si>
    <t>Giọng càng đậm càng khác chuẩn, ASR càng khó</t>
  </si>
  <si>
    <t>Phân bố mức đậm; WER theo mức đậm</t>
  </si>
  <si>
    <t>S43</t>
  </si>
  <si>
    <t>Thực hiện thanh điệu theo vùng</t>
  </si>
  <si>
    <t>Đường nét và số thanh khác nhau giữa các vùng; thanh hỏi/ngã và nặng là điểm hay lẫn</t>
  </si>
  <si>
    <t>Dùng cặp câu tối thiểu hỏi/ngã trong tập chẩn đoán M4 và nghe kiểm theo vùng.</t>
  </si>
  <si>
    <t>Nhiễu che đường nét F0 làm các thanh vốn gần nhau càng dễ nhầm</t>
  </si>
  <si>
    <t>Tỷ lệ nghe đúng thanh điệu theo vùng</t>
  </si>
  <si>
    <t>S44</t>
  </si>
  <si>
    <t>Phụ âm đầu, vần cuối theo vùng</t>
  </si>
  <si>
    <t>Một số vùng lẫn tr/ch, s/x, r/d/gi, n/l hoặc đọc vần cuối khác chuẩn</t>
  </si>
  <si>
    <t>Dùng tên đường, địa danh có tr/ch, s/x, r/d/gi trong M4; người bản ngữ rà.</t>
  </si>
  <si>
    <t>Làm lệch chính tả khi nhận dạng, nhất là tên đường và địa danh</t>
  </si>
  <si>
    <t>WER trên tên đường và địa danh theo vùng</t>
  </si>
  <si>
    <t>S45</t>
  </si>
  <si>
    <t>Nhịp và ngữ điệu theo vùng</t>
  </si>
  <si>
    <t>Nhịp nói và cách lên xuống giọng khác nhau</t>
  </si>
  <si>
    <t>Ảnh hưởng độ tự nhiên cảm nhận của TTS</t>
  </si>
  <si>
    <t>MOS theo nhóm người nghe từng vùng</t>
  </si>
  <si>
    <t>4.5 Từ ngữ địa phương và thói quen dùng từ</t>
  </si>
  <si>
    <t>S51</t>
  </si>
  <si>
    <t>Từ vựng theo vùng</t>
  </si>
  <si>
    <t>Ví dụ rẽ/quẹo, phanh/thắng, kính/kiếng, ngõ/hẻm (xem sheet Tu_dia_phuong)</t>
  </si>
  <si>
    <t>Mỗi ý định có biến thể Bắc, Trung, Nam trong Mau_khung; từ vựng lấy từ Tu_dia_phuong và do người bản ngữ duyệt.</t>
  </si>
  <si>
    <t>Đa dạng câu quan trọng hơn đa dạng người nói; dưới khoảng 10.000 câu thì CER tăng rõ (Versatile TTS, Mân Nam; chưa kiểm chứng cho tiếng Việt).</t>
  </si>
  <si>
    <t>Người dùng nói từ địa phương mà hệ thống chỉ biết từ chuẩn sẽ không hiểu lệnh; TTS đọc từ khác vùng nghe lạ</t>
  </si>
  <si>
    <t>Tỷ lệ câu có từ địa phương; tỷ lệ hiểu lệnh trên câu địa phương</t>
  </si>
  <si>
    <t>S52</t>
  </si>
  <si>
    <t>Xưng hô và từ đệm theo vùng</t>
  </si>
  <si>
    <t>Dạ/vâng; nha/nghen/nhé; má/mẹ/mạ</t>
  </si>
  <si>
    <t>Từ đệm làm đổi nhịp và ngữ điệu câu; xưng hô không hợp vùng giảm cảm giác tự nhiên</t>
  </si>
  <si>
    <t>Tỷ lệ câu có xưng hô và từ đệm theo vùng</t>
  </si>
  <si>
    <t>S53</t>
  </si>
  <si>
    <t>Cách đọc số và tiền theo vùng</t>
  </si>
  <si>
    <t>Lẻ/linh (105); nghìn/ngàn; cách đọc 'rưỡi'</t>
  </si>
  <si>
    <t>Chuẩn hóa số theo vùng (lẻ/linh, nghìn/ngàn); có cặp câu M4 cho từng cách đọc.</t>
  </si>
  <si>
    <t>Bộ chuẩn hóa chọn một cách đọc cố định sẽ đọc lệch thói quen một vùng</t>
  </si>
  <si>
    <t>Tỷ lệ đọc đúng số theo thói quen từng vùng</t>
  </si>
  <si>
    <t>S54</t>
  </si>
  <si>
    <t>Cách gọi tên đường, địa danh theo thói quen</t>
  </si>
  <si>
    <t>Tên cũ/tên mới; tên gọi quen thuộc của người địa phương</t>
  </si>
  <si>
    <t>Người dùng nói tên quen thuộc mà bản đồ ghi tên chính thức</t>
  </si>
  <si>
    <t>Tỷ lệ nhận đúng tên riêng dạng gọi quen</t>
  </si>
  <si>
    <t>S55</t>
  </si>
  <si>
    <t>Chuyển mã Anh–Việt và nói tắt</t>
  </si>
  <si>
    <t>Bật 'air-con', 'ok', 'check engine'; nói trống không</t>
  </si>
  <si>
    <t>Lệnh pha tiếng Anh và câu cụt làm khớp ý định kém</t>
  </si>
  <si>
    <t>Tỷ lệ hiểu lệnh pha Anh–Việt</t>
  </si>
  <si>
    <t>5. Người nghe và ngữ cảnh lái</t>
  </si>
  <si>
    <t>5.1 Người nghe</t>
  </si>
  <si>
    <t>D01</t>
  </si>
  <si>
    <t>Tải nhận thức của người lái</t>
  </si>
  <si>
    <t>Thấp (đỗ xe) đến cao (cao tốc, kẹt xe, mưa). Chỉ dẫn: Tải càng cao càng cần câu ngắn</t>
  </si>
  <si>
    <t>Câu dài hoặc nhiều thông tin gây phân tâm</t>
  </si>
  <si>
    <t>Độ dài câu; đánh giá của người nghe</t>
  </si>
  <si>
    <t>D02</t>
  </si>
  <si>
    <t>Tuổi và thính lực</t>
  </si>
  <si>
    <t>Người lớn tuổi có thể giảm nghe ở dải cao. Chỉ dẫn: Cần tốc độ chậm hơn và độ rõ cao hơn</t>
  </si>
  <si>
    <t>Phụ âm dải cao khó nghe</t>
  </si>
  <si>
    <t>Độ rõ theo nhóm tuổi</t>
  </si>
  <si>
    <t>5.2 Ngữ cảnh sử dụng</t>
  </si>
  <si>
    <t>D03</t>
  </si>
  <si>
    <t>Mức khẩn cấp</t>
  </si>
  <si>
    <t>Thông tin → Thấp → Trung bình → Cao → Khẩn cấp. Chỉ dẫn: Ngữ điệu, tốc độ, âm báo thay đổi theo mức</t>
  </si>
  <si>
    <t>Giọng không đúng mức khẩn cấp gây phản ứng sai</t>
  </si>
  <si>
    <t>Nhận biết mức khẩn cấp bởi người nghe</t>
  </si>
  <si>
    <t>D04</t>
  </si>
  <si>
    <t>Thời điểm trong ngày</t>
  </si>
  <si>
    <t>Ban ngày/ban đêm. Chỉ dẫn: Ban đêm cần giọng dịu và mức nhỏ hơn</t>
  </si>
  <si>
    <t>Giọng gắt hoặc quá to gây khó chịu</t>
  </si>
  <si>
    <t>Đánh giá thoải mái của người nghe</t>
  </si>
  <si>
    <t>D05</t>
  </si>
  <si>
    <t>Quyền riêng tư và số người trên xe</t>
  </si>
  <si>
    <t>Chỉ người lái; có hành khách. Chỉ dẫn: Nội dung nhạy cảm không nên phát ra loa chung</t>
  </si>
  <si>
    <t>Lộ tin nhắn, cuộc gọi cá nhân</t>
  </si>
  <si>
    <t>Tỷ lệ đúng chính sách riêng tư</t>
  </si>
  <si>
    <t>6. Ngôn ngữ và nội dung câu</t>
  </si>
  <si>
    <t>6.1 Chuẩn hóa văn bản</t>
  </si>
  <si>
    <t>E03</t>
  </si>
  <si>
    <t>Chuẩn hóa số, giờ, ngày, tiền, đơn vị</t>
  </si>
  <si>
    <t>Số, số thập phân, giờ, ngày tháng năm, VND, đơn vị đo. Chỉ dẫn: Đọc theo thói quen nói của người Việt</t>
  </si>
  <si>
    <t>Đọc sai hoặc đọc từng chữ số làm nhầm thông tin</t>
  </si>
  <si>
    <t>Tỷ lệ câu chuẩn hóa đúng</t>
  </si>
  <si>
    <t>E04</t>
  </si>
  <si>
    <t>Tên đường, địa danh, địa chỉ</t>
  </si>
  <si>
    <t>Ngõ, ngách, hẻm; tên đơn vị hành chính có thể thay đổi. Chỉ dẫn: Cần từ điển được cập nhật</t>
  </si>
  <si>
    <t>Đọc sai tên làm lạc đường</t>
  </si>
  <si>
    <t>Tỷ lệ đọc đúng tên riêng</t>
  </si>
  <si>
    <t>E07</t>
  </si>
  <si>
    <t>Viết tắt và ký hiệu</t>
  </si>
  <si>
    <t>QL, TP.HCM, km/h, °C, %, kW. Chỉ dẫn: Cần bảng ánh xạ</t>
  </si>
  <si>
    <t>Đọc từng chữ hoặc bỏ sót</t>
  </si>
  <si>
    <t>Tỷ lệ viết tắt đọc đúng</t>
  </si>
  <si>
    <t>6.2 Cách diễn đạt</t>
  </si>
  <si>
    <t>E05</t>
  </si>
  <si>
    <t>Từ mượn và chuyển mã Anh–Việt</t>
  </si>
  <si>
    <t>Tên bài hát, thương hiệu, thuật ngữ xe. Chỉ dẫn: Cần quy tắc thống nhất</t>
  </si>
  <si>
    <t>Phát âm lúc Anh lúc Việt gây khó hiểu</t>
  </si>
  <si>
    <t>Tỷ lệ đọc đúng từ mượn</t>
  </si>
  <si>
    <t>E06</t>
  </si>
  <si>
    <t>Xưng hô và từ đệm</t>
  </si>
  <si>
    <t>Anh, chị, bạn, quý khách; từ lịch sự. Chỉ dẫn: Cần nhất quán toàn hệ thống</t>
  </si>
  <si>
    <t>Xưng hô không hợp làm giảm cảm giác tự nhiên</t>
  </si>
  <si>
    <t>Đánh giá của người dùng</t>
  </si>
  <si>
    <t>E08</t>
  </si>
  <si>
    <t>Độ dài câu và ngắt nghỉ</t>
  </si>
  <si>
    <t>Cảnh báo ngắn; hội thoại dài hơn. Chỉ dẫn: Đề xuất: cảnh báo khẩn cấp dưới khoảng 8–10 âm tiết (cần kiểm chứng)</t>
  </si>
  <si>
    <t>Mỗi case có cả câu rất ngắn (1–3 âm tiết) và câu thường; theo dõi cột do_dai ở Mau_cau.</t>
  </si>
  <si>
    <t>Câu dài làm chậm phản ứng</t>
  </si>
  <si>
    <t>Thời gian phản ứng; độ rõ</t>
  </si>
  <si>
    <t>6.3 Thanh điệu và độ rõ</t>
  </si>
  <si>
    <t>E02</t>
  </si>
  <si>
    <t>Thanh điệu dưới nhiễu</t>
  </si>
  <si>
    <t>Hỏi và ngã; sắc và nặng; huyền và ngang. Chỉ dẫn: Thanh điệu dễ nhầm khi ồn</t>
  </si>
  <si>
    <t>Cặp câu tối thiểu thanh hỏi/ngã, sắc/nặng trong M4; đo ở bộ đánh giá có nhiễu.</t>
  </si>
  <si>
    <t>Nghe nhầm từ khi nhiễu che đường nét cao độ</t>
  </si>
  <si>
    <t>Tỷ lệ nghe đúng thanh điệu</t>
  </si>
  <si>
    <t>Số yếu tố theo bước xử lý</t>
  </si>
  <si>
    <t>Đếm từ sheet Yeu_to. Bước 1 là phần bộ mẫu câu phải đáp ứng trực tiếp.</t>
  </si>
  <si>
    <t>Bước xử lý</t>
  </si>
  <si>
    <t>Làm gì</t>
  </si>
  <si>
    <t>Số yếu tố (bước chính)</t>
  </si>
  <si>
    <t>Số yếu tố (bước phụ)</t>
  </si>
  <si>
    <t>Quyết định bằng chính câu: mẫu câu, khe thông tin, từ vựng vùng, số, tên riêng, độ dài. Đây là phần bộ mẫu câu phải đáp ứng trực tiếp.</t>
  </si>
  <si>
    <t>Quyết định bằng người nói được clone: vùng, giới, F0, chất giọng. Xử lý bằng hạn ngạch người nói và chọn đoạn tham chiếu, không bằng câu.</t>
  </si>
  <si>
    <t>Điều khiển lúc sinh âm thanh: tốc độ, phong cách, ngắt nghỉ, cảm xúc. Kết quả phải đo lại sau khi sinh.</t>
  </si>
  <si>
    <t>Thêm sau khi TTS đã sinh âm thanh sạch: tiếng ồn, vang khoang xe, mức giọng so với ồn, vị trí mic.</t>
  </si>
  <si>
    <t>Chuỗi xử lý giữa mic và bộ nhận dạng: tần số lấy mẫu, codec, khử ồn, AGC. Dùng cùng chuỗi khi tạo dữ liệu và khi chạy thật.</t>
  </si>
  <si>
    <t>Không điều khiển được khi sinh; chỉ có thể đo ở bộ đánh giá.</t>
  </si>
  <si>
    <t>Nếu zero-shot không giữ được giọng vùng thì tinh chỉnh TTS trên giọng thật có nhãn vùng.</t>
  </si>
  <si>
    <t>Thuộc đường phát ra loa hoặc hệ thống trợ lý, không ảnh hưởng dữ liệu huấn luyện ASR; giữ lại cho giai đoạn đánh giá TTS sản phẩm (mục đích M5).</t>
  </si>
  <si>
    <t>Tổng</t>
  </si>
  <si>
    <t>Kiểm tra: tổng bước chính bằng số yếu tố</t>
  </si>
  <si>
    <t>Ma trận case × yếu tố</t>
  </si>
  <si>
    <t>● = case cần yếu tố này (trọng yếu); ○ = có xuất hiện. Hàng 5 cho bước xử lý chính; chỉ yếu tố thuộc bước 1 được phủ bằng câu, hàng 21 đếm số câu mẫu phủ.</t>
  </si>
  <si>
    <t>Mã case</t>
  </si>
  <si>
    <t>Số yếu tố ●</t>
  </si>
  <si>
    <t>Số câu mẫu M1, M2</t>
  </si>
  <si>
    <t>Tên yếu tố</t>
  </si>
  <si>
    <t>●</t>
  </si>
  <si>
    <t>○</t>
  </si>
  <si>
    <t>Số case cần (●)</t>
  </si>
  <si>
    <t>Mẫu câu × khe thông tin</t>
  </si>
  <si>
    <t>Số giá trị mỗi khe là mục tiêu cần liệt kê (ô vàng sửa được), không phải danh sách đã có. Sức chứa là tích tối đa; khe phụ thuộc nhau thì thực tế thấp hơn. Diễn đạt lại bằng LLM và người duyệt sẽ nhân thêm.</t>
  </si>
  <si>
    <t>Case</t>
  </si>
  <si>
    <t>Ý định</t>
  </si>
  <si>
    <t>Mẫu câu</t>
  </si>
  <si>
    <t>Khe 1</t>
  </si>
  <si>
    <t>Giá trị ví dụ khe 1</t>
  </si>
  <si>
    <t>Số giá trị mục tiêu khe 1</t>
  </si>
  <si>
    <t>Khe 2</t>
  </si>
  <si>
    <t>Giá trị ví dụ khe 2</t>
  </si>
  <si>
    <t>Số giá trị mục tiêu khe 2</t>
  </si>
  <si>
    <t>Khe 3</t>
  </si>
  <si>
    <t>Giá trị ví dụ khe 3</t>
  </si>
  <si>
    <t>Số giá trị mục tiêu khe 3</t>
  </si>
  <si>
    <t>Sức chứa tổ hợp</t>
  </si>
  <si>
    <t>Biến thể vùng</t>
  </si>
  <si>
    <t>Yếu tố (mã)</t>
  </si>
  <si>
    <t>T01</t>
  </si>
  <si>
    <t>dẫn đường đến địa chỉ</t>
  </si>
  <si>
    <t>{động từ} đến {đích}</t>
  </si>
  <si>
    <t>động từ</t>
  </si>
  <si>
    <t>Dẫn đường; Chỉ đường tới; Đưa tôi đến</t>
  </si>
  <si>
    <t>đích</t>
  </si>
  <si>
    <t>số 15 ngõ 28 Chùa Bộc; hẻm 28 đường Nguyễn Văn Cừ; sân bay Nội Bài; bệnh viện Chợ Rẫy; Huế</t>
  </si>
  <si>
    <t>ngõ/hẻm theo vùng của địa chỉ</t>
  </si>
  <si>
    <t>E03; E04; S51; S54</t>
  </si>
  <si>
    <t>Danh sách đích lấy từ dữ liệu bản đồ (OpenStreetMap, ODbL, cần ghi nguồn) kèm cách gọi quen của người địa phương.</t>
  </si>
  <si>
    <t>T02</t>
  </si>
  <si>
    <t>hỏi khoảng cách hoặc thời gian</t>
  </si>
  <si>
    <t>{hỏi} đến {đích}</t>
  </si>
  <si>
    <t>hỏi</t>
  </si>
  <si>
    <t>Còn bao xa; Mất bao lâu; Mấy giờ thì tới</t>
  </si>
  <si>
    <t>Huế; Đà Nẵng; nhà; cơ quan</t>
  </si>
  <si>
    <t>E04; E08; S33</t>
  </si>
  <si>
    <t>T03</t>
  </si>
  <si>
    <t>tìm đường tránh</t>
  </si>
  <si>
    <t>Tìm đường khác tránh {trở ngại}</t>
  </si>
  <si>
    <t>trở ngại</t>
  </si>
  <si>
    <t>kẹt xe (Nam); tắc đường (Bắc); công trình; ngập nước</t>
  </si>
  <si>
    <t>kẹt xe/tắc đường</t>
  </si>
  <si>
    <t>T04</t>
  </si>
  <si>
    <t>đặt nhiệt độ</t>
  </si>
  <si>
    <t>Đặt nhiệt độ {vị trí} {số} độ</t>
  </si>
  <si>
    <t>vị trí</t>
  </si>
  <si>
    <t>ghế lái; ghế phụ; khoang sau</t>
  </si>
  <si>
    <t>số</t>
  </si>
  <si>
    <t>18; 22; 24; 28</t>
  </si>
  <si>
    <t>E03; E02</t>
  </si>
  <si>
    <t>T05</t>
  </si>
  <si>
    <t>hạ kính</t>
  </si>
  <si>
    <t>Hạ {kính} {bên} xuống {mức}</t>
  </si>
  <si>
    <t>kính</t>
  </si>
  <si>
    <t>kính (Bắc); kiếng (Nam)</t>
  </si>
  <si>
    <t>bên</t>
  </si>
  <si>
    <t>bên lái; bên phụ; sau trái; sau phải</t>
  </si>
  <si>
    <t>mức</t>
  </si>
  <si>
    <t>một nửa; hoàn toàn; một chút</t>
  </si>
  <si>
    <t>kính/kiếng; thêm nha/nhé</t>
  </si>
  <si>
    <t>S51; S52; E02</t>
  </si>
  <si>
    <t>T06</t>
  </si>
  <si>
    <t>bật điều hòa</t>
  </si>
  <si>
    <t>Bật {điều hòa} {số} độ</t>
  </si>
  <si>
    <t>điều hòa</t>
  </si>
  <si>
    <t>điều hòa (Bắc); máy lạnh (Nam); air-con</t>
  </si>
  <si>
    <t>16; 19; 22; 26</t>
  </si>
  <si>
    <t>điều hòa/máy lạnh</t>
  </si>
  <si>
    <t>E03; S51; S55</t>
  </si>
  <si>
    <t>T07</t>
  </si>
  <si>
    <t>mở nhạc</t>
  </si>
  <si>
    <t>Mở {loại} {tên}</t>
  </si>
  <si>
    <t>loại</t>
  </si>
  <si>
    <t>bài; danh sách nhạc; podcast</t>
  </si>
  <si>
    <t>tên</t>
  </si>
  <si>
    <t>Chill cuối tuần; nhạc thiếu nhi</t>
  </si>
  <si>
    <t>E05; A07</t>
  </si>
  <si>
    <t>Tên lấy từ kho nhạc; kiểm bản quyền nếu đưa lời bài hát.</t>
  </si>
  <si>
    <t>T08</t>
  </si>
  <si>
    <t>chuyển kênh</t>
  </si>
  <si>
    <t>Chuyển sang kênh {kênh}, {tần số}</t>
  </si>
  <si>
    <t>kênh</t>
  </si>
  <si>
    <t>VOV Giao thông; VOV 3</t>
  </si>
  <si>
    <t>tần số</t>
  </si>
  <si>
    <t>FM 91 MHz; FM 102,7 MHz</t>
  </si>
  <si>
    <t>E03; E07; E05</t>
  </si>
  <si>
    <t>T09</t>
  </si>
  <si>
    <t>gọi</t>
  </si>
  <si>
    <t>Gọi cho {người}</t>
  </si>
  <si>
    <t>người</t>
  </si>
  <si>
    <t>anh Minh; chị Lan; mạ (Trung); má (Nam)</t>
  </si>
  <si>
    <t>xưng hô mạ/má/mẹ</t>
  </si>
  <si>
    <t>E06; S52</t>
  </si>
  <si>
    <t>Tên người dùng tên phổ biến, không dùng tên người có thật.</t>
  </si>
  <si>
    <t>T10</t>
  </si>
  <si>
    <t>gọi theo số</t>
  </si>
  <si>
    <t>Gọi số {số điện thoại}</t>
  </si>
  <si>
    <t>số điện thoại</t>
  </si>
  <si>
    <t>0912 345 678; 0903 456 789</t>
  </si>
  <si>
    <t>E03; S53</t>
  </si>
  <si>
    <t>T11</t>
  </si>
  <si>
    <t>hỏi trạng thái xe</t>
  </si>
  <si>
    <t>{vật} {bộ phận} {hỏi}</t>
  </si>
  <si>
    <t>vật</t>
  </si>
  <si>
    <t>Áp suất lốp; Nhiên liệu; Lịch bảo dưỡng</t>
  </si>
  <si>
    <t>bộ phận</t>
  </si>
  <si>
    <t>trước bên phải; sau bên trái</t>
  </si>
  <si>
    <t>bao nhiêu; còn bao nhiêu</t>
  </si>
  <si>
    <t>bao giờ/khi nào</t>
  </si>
  <si>
    <t>E03; E07</t>
  </si>
  <si>
    <t>T12</t>
  </si>
  <si>
    <t>hỏi sạc</t>
  </si>
  <si>
    <t>Sạc từ {x} lên {y} phần trăm mất bao lâu</t>
  </si>
  <si>
    <t>x</t>
  </si>
  <si>
    <t>20; 35; 50</t>
  </si>
  <si>
    <t>y</t>
  </si>
  <si>
    <t>80; 90; 100</t>
  </si>
  <si>
    <t>T13</t>
  </si>
  <si>
    <t>hỏi thời tiết</t>
  </si>
  <si>
    <t>Hôm nay {thành phố} có {hiện tượng} không</t>
  </si>
  <si>
    <t>thành phố</t>
  </si>
  <si>
    <t>Hà Nội; Đà Nẵng; Huế; Cần Thơ</t>
  </si>
  <si>
    <t>hiện tượng</t>
  </si>
  <si>
    <t>mưa; nắng; ngập</t>
  </si>
  <si>
    <t>T14</t>
  </si>
  <si>
    <t>gọi khẩn cấp</t>
  </si>
  <si>
    <t>Gọi {dịch vụ}</t>
  </si>
  <si>
    <t>dịch vụ</t>
  </si>
  <si>
    <t>cấp cứu 115; cứu hộ giao thông</t>
  </si>
  <si>
    <t>D03; S23</t>
  </si>
  <si>
    <t>Trạng thái giọng căng thẳng; ít mẫu.</t>
  </si>
  <si>
    <t>T15</t>
  </si>
  <si>
    <t>nhắc việc</t>
  </si>
  <si>
    <t>Nhắc tôi {việc} {lúc}</t>
  </si>
  <si>
    <t>việc</t>
  </si>
  <si>
    <t>mua sữa; họp; đón con</t>
  </si>
  <si>
    <t>lúc</t>
  </si>
  <si>
    <t>lúc chín giờ sáng mai; khi đi ngang siêu thị</t>
  </si>
  <si>
    <t>E03; E08</t>
  </si>
  <si>
    <t>T16</t>
  </si>
  <si>
    <t>hỏi quán gần đây</t>
  </si>
  <si>
    <t>Gần đây có {quán} nào có chỗ {đỗ} xe không</t>
  </si>
  <si>
    <t>quán</t>
  </si>
  <si>
    <t>quán cà phê; nhà hàng; trạm sạc</t>
  </si>
  <si>
    <t>đỗ</t>
  </si>
  <si>
    <t>đỗ (Bắc); đậu (Nam)</t>
  </si>
  <si>
    <t>đỗ/đậu</t>
  </si>
  <si>
    <t>S51; E08</t>
  </si>
  <si>
    <t>T17</t>
  </si>
  <si>
    <t>trả lời ngắn</t>
  </si>
  <si>
    <t>{trả lời}</t>
  </si>
  <si>
    <t>trả lời</t>
  </si>
  <si>
    <t>Có; Không; Hủy; Cái thứ hai; Hai</t>
  </si>
  <si>
    <t>vâng/dạ</t>
  </si>
  <si>
    <t>E08; S33; S52</t>
  </si>
  <si>
    <t>Câu rất ngắn.</t>
  </si>
  <si>
    <t>T18</t>
  </si>
  <si>
    <t>sửa lệnh</t>
  </si>
  <si>
    <t>Không phải, ý tôi là {lệnh đúng}</t>
  </si>
  <si>
    <t>lệnh đúng</t>
  </si>
  <si>
    <t>gọi anh Hùng Trần; đi đường khác</t>
  </si>
  <si>
    <t>S23; E06</t>
  </si>
  <si>
    <t>Câu mẫu của người dùng (M1, M2) và câu chẩn đoán (M4)</t>
  </si>
  <si>
    <t>Cột xanh lá tự tính (số âm tiết = số từ cách nhau bởi dấu cách; thời lượng = âm tiết / tốc độ ở Tong_quan!B40). M3 chưa có dòng vì chưa chọn bộ thật. Ví dụ từ vùng cần người bản ngữ duyệt.</t>
  </si>
  <si>
    <t>sample_id</t>
  </si>
  <si>
    <t>purpose</t>
  </si>
  <si>
    <t>case_id</t>
  </si>
  <si>
    <t>case_name</t>
  </si>
  <si>
    <t>intent</t>
  </si>
  <si>
    <t>speech_act</t>
  </si>
  <si>
    <t>text_raw</t>
  </si>
  <si>
    <t>text_spoken</t>
  </si>
  <si>
    <t>language_mix</t>
  </si>
  <si>
    <t>norm_features</t>
  </si>
  <si>
    <t>lexicon_variant</t>
  </si>
  <si>
    <t>speaker_region</t>
  </si>
  <si>
    <t>speaker_state</t>
  </si>
  <si>
    <t>factors_covered</t>
  </si>
  <si>
    <t>so_am_tiet</t>
  </si>
  <si>
    <t>do_dai</t>
  </si>
  <si>
    <t>est_duration_s</t>
  </si>
  <si>
    <t>notes</t>
  </si>
  <si>
    <t>CS01-M1-001</t>
  </si>
  <si>
    <t>Lệnh</t>
  </si>
  <si>
    <t>Dẫn đường đến số 15 ngõ 28 Chùa Bộc.</t>
  </si>
  <si>
    <t>Dẫn đường đến số mười lăm ngõ hai mươi tám Chùa Bộc.</t>
  </si>
  <si>
    <t>Việt</t>
  </si>
  <si>
    <t>số; địa chỉ; tên riêng/địa danh</t>
  </si>
  <si>
    <t>Bắc</t>
  </si>
  <si>
    <t>Bình thường</t>
  </si>
  <si>
    <t>Cần người bản ngữ vùng đó duyệt.</t>
  </si>
  <si>
    <t>CS01-M1-002</t>
  </si>
  <si>
    <t>Dẫn đường tới hẻm 28 đường Nguyễn Văn Cừ.</t>
  </si>
  <si>
    <t>Dẫn đường tới hẻm hai mươi tám đường Nguyễn Văn Cừ.</t>
  </si>
  <si>
    <t>Nam</t>
  </si>
  <si>
    <t>CS01-M1-003</t>
  </si>
  <si>
    <t>hỏi còn bao xa</t>
  </si>
  <si>
    <t>Câu hỏi</t>
  </si>
  <si>
    <t>Còn bao xa nữa thì đến nơi?</t>
  </si>
  <si>
    <t>Chuẩn chung</t>
  </si>
  <si>
    <t>Bất kỳ (xoay vòng)</t>
  </si>
  <si>
    <t>E08; S33</t>
  </si>
  <si>
    <t>CS01-M1-004</t>
  </si>
  <si>
    <t>báo rẽ ở ngã tư</t>
  </si>
  <si>
    <t>Quẹo trái ở ngã tư tới đúng không?</t>
  </si>
  <si>
    <t>S51; S33</t>
  </si>
  <si>
    <t>CS01-M1-005</t>
  </si>
  <si>
    <t>tìm đường tránh tắc</t>
  </si>
  <si>
    <t>Tìm đường khác tránh kẹt xe.</t>
  </si>
  <si>
    <t>CS01-M1-006</t>
  </si>
  <si>
    <t>Tìm đường khác tránh tắc đường.</t>
  </si>
  <si>
    <t>CS01-M1-007</t>
  </si>
  <si>
    <t>hỏi giờ đến</t>
  </si>
  <si>
    <t>Đến Huế mất bao lâu?</t>
  </si>
  <si>
    <t>tên riêng/địa danh</t>
  </si>
  <si>
    <t>Trung</t>
  </si>
  <si>
    <t>E04; E08</t>
  </si>
  <si>
    <t>Giọng Trung nói tên địa danh Trung; từ vựng chuẩn chung.</t>
  </si>
  <si>
    <t>CS01-M1-008</t>
  </si>
  <si>
    <t>hủy dẫn đường</t>
  </si>
  <si>
    <t>Hủy dẫn đường.</t>
  </si>
  <si>
    <t>CS02-M1-001</t>
  </si>
  <si>
    <t>tắt cảnh báo</t>
  </si>
  <si>
    <t>Tắt cảnh báo lệch làn.</t>
  </si>
  <si>
    <t>CS02-M1-002</t>
  </si>
  <si>
    <t>nói tôi ổn khi bị nhắc mệt</t>
  </si>
  <si>
    <t>Câu cụt</t>
  </si>
  <si>
    <t>Tôi tỉnh rồi, không cần nhắc nữa.</t>
  </si>
  <si>
    <t>Mệt mỏi</t>
  </si>
  <si>
    <t>S22; S23; D03</t>
  </si>
  <si>
    <t>Giọng mệt khó sinh; xem yếu tố S22.</t>
  </si>
  <si>
    <t>CS03-M1-001</t>
  </si>
  <si>
    <t>đặt nhiệt độ ghế</t>
  </si>
  <si>
    <t>Đặt nhiệt độ ghế lái 24 độ.</t>
  </si>
  <si>
    <t>Đặt nhiệt độ ghế lái hai mươi tư độ.</t>
  </si>
  <si>
    <t>số; đơn vị đo</t>
  </si>
  <si>
    <t>CS03-M1-002</t>
  </si>
  <si>
    <t>Hạ kính bên phụ xuống một nửa.</t>
  </si>
  <si>
    <t>S51; E02</t>
  </si>
  <si>
    <t>CS03-M1-003</t>
  </si>
  <si>
    <t>Hạ kiếng bên phụ xuống một nửa nha.</t>
  </si>
  <si>
    <t>CS03-M1-004</t>
  </si>
  <si>
    <t>bật sưởi ghế</t>
  </si>
  <si>
    <t>Bật sưởi ghế mức 2.</t>
  </si>
  <si>
    <t>Bật sưởi ghế mức hai.</t>
  </si>
  <si>
    <t>CS03-M1-005</t>
  </si>
  <si>
    <t>Bật điều hòa 19 độ.</t>
  </si>
  <si>
    <t>Bật điều hòa mười chín độ.</t>
  </si>
  <si>
    <t>E03; S51</t>
  </si>
  <si>
    <t>CS03-M1-006</t>
  </si>
  <si>
    <t>Bật máy lạnh 19 độ.</t>
  </si>
  <si>
    <t>Bật máy lạnh mười chín độ.</t>
  </si>
  <si>
    <t>CS03-M1-007</t>
  </si>
  <si>
    <t>Bật air-con lên chút.</t>
  </si>
  <si>
    <t>Việt + Anh</t>
  </si>
  <si>
    <t>từ mượn tiếng Anh</t>
  </si>
  <si>
    <t>S55; S23</t>
  </si>
  <si>
    <t>Cách đọc 'air-con' cần thống nhất.</t>
  </si>
  <si>
    <t>CS03-M1-008</t>
  </si>
  <si>
    <t>chỉnh quạt</t>
  </si>
  <si>
    <t>Tăng quạt gió lên mức 3.</t>
  </si>
  <si>
    <t>Tăng quạt gió lên mức ba.</t>
  </si>
  <si>
    <t>CS03-M1-009</t>
  </si>
  <si>
    <t>mở cửa sổ trời</t>
  </si>
  <si>
    <t>Mở cửa sổ trời.</t>
  </si>
  <si>
    <t>CS04-M1-001</t>
  </si>
  <si>
    <t>mở danh sách nhạc</t>
  </si>
  <si>
    <t>Mở danh sách nhạc Chill cuối tuần.</t>
  </si>
  <si>
    <t>từ mượn tiếng Anh; tên riêng/địa danh</t>
  </si>
  <si>
    <t>CS04-M1-002</t>
  </si>
  <si>
    <t>chuyển kênh radio</t>
  </si>
  <si>
    <t>Chuyển sang kênh VOV Giao thông, FM 91 MHz.</t>
  </si>
  <si>
    <t>Chuyển sang kênh V O V Giao thông, F M chín mươi mốt mê ga héc.</t>
  </si>
  <si>
    <t>viết tắt; tần số/công suất; số</t>
  </si>
  <si>
    <t>CS04-M1-003</t>
  </si>
  <si>
    <t>chỉnh âm lượng</t>
  </si>
  <si>
    <t>Tăng âm lượng lên 18.</t>
  </si>
  <si>
    <t>Tăng âm lượng lên mười tám.</t>
  </si>
  <si>
    <t>Nói trong ồn (Lombard)</t>
  </si>
  <si>
    <t>E03; S24; A07</t>
  </si>
  <si>
    <t>CS04-M1-004</t>
  </si>
  <si>
    <t>hỏi đang phát gì</t>
  </si>
  <si>
    <t>Bài này ai hát vậy?</t>
  </si>
  <si>
    <t>CS04-M1-005</t>
  </si>
  <si>
    <t>chuyển bài</t>
  </si>
  <si>
    <t>Bật bài tiếp theo.</t>
  </si>
  <si>
    <t>CS05-M1-001</t>
  </si>
  <si>
    <t>gọi tên</t>
  </si>
  <si>
    <t>Gọi cho anh Minh.</t>
  </si>
  <si>
    <t>E06; E04</t>
  </si>
  <si>
    <t>CS05-M1-002</t>
  </si>
  <si>
    <t>gọi mẹ</t>
  </si>
  <si>
    <t>Gọi cho mạ.</t>
  </si>
  <si>
    <t>S52; S51</t>
  </si>
  <si>
    <t>Chỉ ví dụ; Cần người bản ngữ vùng đó duyệt.</t>
  </si>
  <si>
    <t>CS05-M1-003</t>
  </si>
  <si>
    <t>Gọi cho má.</t>
  </si>
  <si>
    <t>CS05-M1-004</t>
  </si>
  <si>
    <t>Gọi số 0912 345 678.</t>
  </si>
  <si>
    <t>Gọi số không chín một hai, ba bốn năm, sáu bảy tám.</t>
  </si>
  <si>
    <t>số điện thoại; số</t>
  </si>
  <si>
    <t>Vội / nói nhanh</t>
  </si>
  <si>
    <t>E03; S53; S34</t>
  </si>
  <si>
    <t>CS05-M1-005</t>
  </si>
  <si>
    <t>đọc tin nhắn</t>
  </si>
  <si>
    <t>Đọc tin nhắn mới.</t>
  </si>
  <si>
    <t>E08; A14</t>
  </si>
  <si>
    <t>CS05-M1-006</t>
  </si>
  <si>
    <t>trả lời tin nhắn</t>
  </si>
  <si>
    <t>Trả lời tin nhắn là mình đến muộn 10 phút.</t>
  </si>
  <si>
    <t>Trả lời tin nhắn là mình đến muộn mười phút.</t>
  </si>
  <si>
    <t>E03; E06</t>
  </si>
  <si>
    <t>CS06-M1-001</t>
  </si>
  <si>
    <t>hỏi áp suất lốp</t>
  </si>
  <si>
    <t>Áp suất lốp trước bên phải bao nhiêu?</t>
  </si>
  <si>
    <t>E07; E03</t>
  </si>
  <si>
    <t>CS06-M1-002</t>
  </si>
  <si>
    <t>hỏi nhiên liệu</t>
  </si>
  <si>
    <t>Còn bao nhiêu xăng?</t>
  </si>
  <si>
    <t>CS06-M1-003</t>
  </si>
  <si>
    <t>hỏi bảo dưỡng</t>
  </si>
  <si>
    <t>Bao giờ phải bảo dưỡng?</t>
  </si>
  <si>
    <t>CS07-M1-001</t>
  </si>
  <si>
    <t>tìm trạm sạc</t>
  </si>
  <si>
    <t>Trạm sạc gần nhất ở đâu?</t>
  </si>
  <si>
    <t>CS07-M1-002</t>
  </si>
  <si>
    <t>thời gian sạc</t>
  </si>
  <si>
    <t>Sạc từ 20% lên 80% mất bao lâu?</t>
  </si>
  <si>
    <t>Sạc từ hai mươi phần trăm lên tám mươi phần trăm mất bao lâu?</t>
  </si>
  <si>
    <t>phần trăm; số</t>
  </si>
  <si>
    <t>CS07-M1-003</t>
  </si>
  <si>
    <t>chi phí sạc</t>
  </si>
  <si>
    <t>Sạc đầy hết bao nhiêu tiền?</t>
  </si>
  <si>
    <t>CS07-M1-004</t>
  </si>
  <si>
    <t>hỏi pin</t>
  </si>
  <si>
    <t>Pin còn bao nhiêu phần trăm?</t>
  </si>
  <si>
    <t>phần trăm</t>
  </si>
  <si>
    <t>CS08-M1-001</t>
  </si>
  <si>
    <t>Hôm nay Đà Nẵng có mưa không?</t>
  </si>
  <si>
    <t>CS08-M1-002</t>
  </si>
  <si>
    <t>hỏi tắc đường</t>
  </si>
  <si>
    <t>Phía trước có kẹt xe không?</t>
  </si>
  <si>
    <t>CS08-M1-003</t>
  </si>
  <si>
    <t>Phía trước có tắc đường không?</t>
  </si>
  <si>
    <t>CS08-M1-004</t>
  </si>
  <si>
    <t>Mấy giờ thì tới nơi?</t>
  </si>
  <si>
    <t>CS09-M1-001</t>
  </si>
  <si>
    <t>gọi cấp cứu</t>
  </si>
  <si>
    <t>Gọi cấp cứu 115.</t>
  </si>
  <si>
    <t>Gọi cấp cứu một một năm.</t>
  </si>
  <si>
    <t>Căng thẳng / khẩn</t>
  </si>
  <si>
    <t>D03; S21; S23; S24</t>
  </si>
  <si>
    <t>Số khẩn cấp đọc từng chữ số.</t>
  </si>
  <si>
    <t>CS09-M1-002</t>
  </si>
  <si>
    <t>nói tôi ổn</t>
  </si>
  <si>
    <t>Tôi ổn, không cần gọi.</t>
  </si>
  <si>
    <t>CS09-M1-003</t>
  </si>
  <si>
    <t>kêu cứu</t>
  </si>
  <si>
    <t>Kêu cứu</t>
  </si>
  <si>
    <t>Giúp tôi với!</t>
  </si>
  <si>
    <t>D03; S21; S24</t>
  </si>
  <si>
    <t>CS09-M1-004</t>
  </si>
  <si>
    <t>gọi cứu hộ</t>
  </si>
  <si>
    <t>Gọi cứu hộ giao thông.</t>
  </si>
  <si>
    <t>D03; E08</t>
  </si>
  <si>
    <t>CS10-M1-001</t>
  </si>
  <si>
    <t>Nhắc tôi mua sữa khi đi ngang siêu thị.</t>
  </si>
  <si>
    <t>E08; E06</t>
  </si>
  <si>
    <t>CS10-M1-002</t>
  </si>
  <si>
    <t>nhắc lịch</t>
  </si>
  <si>
    <t>Nhắc tôi họp lúc 9 giờ sáng mai.</t>
  </si>
  <si>
    <t>Nhắc tôi họp lúc chín giờ sáng mai.</t>
  </si>
  <si>
    <t>giờ/ngày/tháng/năm; số</t>
  </si>
  <si>
    <t>CS10-M1-003</t>
  </si>
  <si>
    <t>Gần đây có quán cà phê nào có chỗ đậu xe không?</t>
  </si>
  <si>
    <t>CS10-M1-004</t>
  </si>
  <si>
    <t>Gần đây có quán cà phê nào có chỗ đỗ xe không?</t>
  </si>
  <si>
    <t>CS10-M1-005</t>
  </si>
  <si>
    <t>cảm ơn</t>
  </si>
  <si>
    <t>Ok, cảm ơn.</t>
  </si>
  <si>
    <t>Ô kê, cảm ơn.</t>
  </si>
  <si>
    <t>S55; S23; E08</t>
  </si>
  <si>
    <t>CS11-M1-001</t>
  </si>
  <si>
    <t>trẻ nhờ mở nhạc</t>
  </si>
  <si>
    <t>Con muốn nghe nhạc.</t>
  </si>
  <si>
    <t>Trẻ em</t>
  </si>
  <si>
    <t>S12; A14</t>
  </si>
  <si>
    <t>Cần nguồn giọng trẻ em thật có đồng ý; không tạo từ giọng người lớn.</t>
  </si>
  <si>
    <t>CS11-M1-002</t>
  </si>
  <si>
    <t>mở nhạc cho bé</t>
  </si>
  <si>
    <t>Bật nhạc thiếu nhi cho bé nghe.</t>
  </si>
  <si>
    <t>E06; A14</t>
  </si>
  <si>
    <t>CS11-M1-003</t>
  </si>
  <si>
    <t>tắt loa sau</t>
  </si>
  <si>
    <t>Tắt loa phía sau.</t>
  </si>
  <si>
    <t>CS12-M2-001</t>
  </si>
  <si>
    <t>nói lại</t>
  </si>
  <si>
    <t>Trả lời ngắn</t>
  </si>
  <si>
    <t>Nói lại đi.</t>
  </si>
  <si>
    <t>CS12-M2-002</t>
  </si>
  <si>
    <t>Không phải, ý tôi là gọi anh Hùng Trần.</t>
  </si>
  <si>
    <t>S23; E06; S34</t>
  </si>
  <si>
    <t>CS12-M2-003</t>
  </si>
  <si>
    <t>chọn</t>
  </si>
  <si>
    <t>Cái thứ hai.</t>
  </si>
  <si>
    <t>CS12-M2-004</t>
  </si>
  <si>
    <t>Cái thứ nhất.</t>
  </si>
  <si>
    <t>CS12-M2-005</t>
  </si>
  <si>
    <t>xác nhận</t>
  </si>
  <si>
    <t>Có.</t>
  </si>
  <si>
    <t>CS12-M2-006</t>
  </si>
  <si>
    <t>từ chối</t>
  </si>
  <si>
    <t>Không.</t>
  </si>
  <si>
    <t>CS12-M2-007</t>
  </si>
  <si>
    <t>Đúng rồi.</t>
  </si>
  <si>
    <t>CS12-M2-008</t>
  </si>
  <si>
    <t>xác nhận lịch sự</t>
  </si>
  <si>
    <t>Vâng, đồng ý.</t>
  </si>
  <si>
    <t>S52; E08</t>
  </si>
  <si>
    <t>CS12-M2-009</t>
  </si>
  <si>
    <t>Dạ, có.</t>
  </si>
  <si>
    <t>CS12-M2-010</t>
  </si>
  <si>
    <t>hủy</t>
  </si>
  <si>
    <t>Hủy.</t>
  </si>
  <si>
    <t>CS12-M2-011</t>
  </si>
  <si>
    <t>chọn số</t>
  </si>
  <si>
    <t>Hai.</t>
  </si>
  <si>
    <t>CS12-M2-012</t>
  </si>
  <si>
    <t>trả lời giờ</t>
  </si>
  <si>
    <t>Chín giờ.</t>
  </si>
  <si>
    <t>giờ/ngày/tháng/năm</t>
  </si>
  <si>
    <t>CS03-M4-001</t>
  </si>
  <si>
    <t>rất ngắn</t>
  </si>
  <si>
    <t>Mở cửa.</t>
  </si>
  <si>
    <t>Thử câu 2 âm tiết.</t>
  </si>
  <si>
    <t>CS01-M4-001</t>
  </si>
  <si>
    <t>Rẽ phải.</t>
  </si>
  <si>
    <t>E08; S51</t>
  </si>
  <si>
    <t>CS12-M4-001</t>
  </si>
  <si>
    <t>Dừng.</t>
  </si>
  <si>
    <t>Thử câu 1 âm tiết.</t>
  </si>
  <si>
    <t>CS05-M4-001</t>
  </si>
  <si>
    <t>dãy số</t>
  </si>
  <si>
    <t>Gọi số 0903 456 789.</t>
  </si>
  <si>
    <t>Gọi số không chín không ba, bốn năm sáu, bảy tám chín.</t>
  </si>
  <si>
    <t>CS10-M4-001</t>
  </si>
  <si>
    <t>thanh hỏi và ngã</t>
  </si>
  <si>
    <t>Anh ấy nghỉ rồi.</t>
  </si>
  <si>
    <t>E02; S43</t>
  </si>
  <si>
    <t>Cặp tối thiểu với dòng kế tiếp (nghỉ / nghĩ).</t>
  </si>
  <si>
    <t>CS10-M4-002</t>
  </si>
  <si>
    <t>Anh ấy nghĩ rồi.</t>
  </si>
  <si>
    <t>Cặp tối thiểu với dòng trước.</t>
  </si>
  <si>
    <t>CS08-M4-001</t>
  </si>
  <si>
    <t>Bão sắp tới, tôi đã bảo anh rồi.</t>
  </si>
  <si>
    <t>Có cả bão (ngã) và bảo (hỏi) trong một câu.</t>
  </si>
  <si>
    <t>CS07-M4-001</t>
  </si>
  <si>
    <t>cách đọc số theo vùng</t>
  </si>
  <si>
    <t>Số 105 có đúng không?</t>
  </si>
  <si>
    <t>Số một trăm lẻ năm có đúng không?</t>
  </si>
  <si>
    <t>S53; E03</t>
  </si>
  <si>
    <t>CS07-M4-002</t>
  </si>
  <si>
    <t>Số một trăm linh năm có đúng không?</t>
  </si>
  <si>
    <t>CS07-M4-003</t>
  </si>
  <si>
    <t>cách đọc tiền theo vùng</t>
  </si>
  <si>
    <t>Giá 1.200 đồng đúng không?</t>
  </si>
  <si>
    <t>Giá một nghìn hai trăm đồng đúng không?</t>
  </si>
  <si>
    <t>tiền VND; số</t>
  </si>
  <si>
    <t>CS07-M4-004</t>
  </si>
  <si>
    <t>Giá một ngàn hai trăm đồng đúng không?</t>
  </si>
  <si>
    <t>CS01-M4-002</t>
  </si>
  <si>
    <t>tên đường dài</t>
  </si>
  <si>
    <t>Dẫn đường đến phố Nguyễn Thị Minh Khai.</t>
  </si>
  <si>
    <t>E04; S44</t>
  </si>
  <si>
    <t>CS08-M4-002</t>
  </si>
  <si>
    <t>từ vùng miền Trung</t>
  </si>
  <si>
    <t>Phía trước kẹt xe, rứa có đi đường khác không?</t>
  </si>
  <si>
    <t>S51; S43</t>
  </si>
  <si>
    <t>Chỉ ví dụ 'rứa'; cần người bản ngữ Trung Bộ bổ sung thêm từ.</t>
  </si>
  <si>
    <t>CS03-M4-002</t>
  </si>
  <si>
    <t>chuyển mã</t>
  </si>
  <si>
    <t>Bật air-con lên mười chín độ.</t>
  </si>
  <si>
    <t>từ mượn tiếng Anh; số</t>
  </si>
  <si>
    <t>S55; E05</t>
  </si>
  <si>
    <t>Chỉ tiêu số lượng</t>
  </si>
  <si>
    <t>Ô chữ xanh nền vàng là tham số sửa được; ô xanh lá là kết quả tự tính. Các số khởi đầu là đề xuất của mình theo bài báo đã đọc, chưa kiểm cho tiếng Việt.</t>
  </si>
  <si>
    <t>Tham số</t>
  </si>
  <si>
    <t>Giá trị</t>
  </si>
  <si>
    <t>Nguồn hoặc lý do</t>
  </si>
  <si>
    <t>Tổng số người nói clone</t>
  </si>
  <si>
    <t>Tỷ lệ giọng Bắc</t>
  </si>
  <si>
    <t>Tự chọn.</t>
  </si>
  <si>
    <t>Tỷ lệ giọng Trung</t>
  </si>
  <si>
    <t>Nhiều hơn vì ViMD cho thấy giọng Trung khó nhất (WER 17,15%) và không phải một giọng; tự chọn.</t>
  </si>
  <si>
    <t>Tỷ lệ giọng Nam</t>
  </si>
  <si>
    <t>Kiểm tra tổng tỷ lệ vùng</t>
  </si>
  <si>
    <t>Tỷ lệ giọng nữ</t>
  </si>
  <si>
    <t>Cân bằng giới; tự chọn.</t>
  </si>
  <si>
    <t>Số câu khác nhau tối thiểu (M1 + M2)</t>
  </si>
  <si>
    <t>Versatile TTS (Mân Nam): dưới khoảng 10.000 câu thì CER tăng rõ.</t>
  </si>
  <si>
    <t>Số lần đọc mỗi câu (khác giọng hoặc khác nền ồn)</t>
  </si>
  <si>
    <t>Tự chọn; tăng để có thêm giờ mà không cần thêm câu, nhưng đa dạng câu quan trọng hơn.</t>
  </si>
  <si>
    <t>Thời lượng trung bình mỗi câu (giây)</t>
  </si>
  <si>
    <t>Tỷ lệ M3 so với M1 + M2</t>
  </si>
  <si>
    <t>Đề xuất của mình: M3 cùng số lượng để cân bằng 'giọng sinh' giữa miền xe và ngoài miền.</t>
  </si>
  <si>
    <t>Tỷ lệ giờ sinh : thật mục tiêu</t>
  </si>
  <si>
    <t>Versatile TTS: 1:1 (tiếng Hàn); thêm nữa gần như không cải thiện.</t>
  </si>
  <si>
    <t>Giờ dữ liệu thật ngoài miền xe dự kiến</t>
  </si>
  <si>
    <t>Số ví dụ; nhập khi chọn bộ dữ liệu thật.</t>
  </si>
  <si>
    <t>Người nói theo vùng</t>
  </si>
  <si>
    <t>Vùng</t>
  </si>
  <si>
    <t>Tỷ lệ</t>
  </si>
  <si>
    <t>Số người nói mục tiêu</t>
  </si>
  <si>
    <t>Nữ</t>
  </si>
  <si>
    <t>Đã chọn (Ho_so_nguoi_noi)</t>
  </si>
  <si>
    <t>Còn thiếu</t>
  </si>
  <si>
    <t>Câu theo case</t>
  </si>
  <si>
    <t>Trọng số (sửa được)</t>
  </si>
  <si>
    <t>Số câu khác nhau mục tiêu</t>
  </si>
  <si>
    <t>Sức chứa khung (Mau_khung)</t>
  </si>
  <si>
    <t>Đánh giá khung</t>
  </si>
  <si>
    <t>Câu mẫu hiện có (M1, M2)</t>
  </si>
  <si>
    <t>Số lượt đọc</t>
  </si>
  <si>
    <t>Giờ âm thanh</t>
  </si>
  <si>
    <t>Giờ âm thanh và tỷ lệ sinh : thật</t>
  </si>
  <si>
    <t>Giờ M1 + M2 (sinh)</t>
  </si>
  <si>
    <t>Giờ M3 (sinh, ngoài miền xe)</t>
  </si>
  <si>
    <t>Tổng giờ sinh</t>
  </si>
  <si>
    <t>Giờ dữ liệu thật ngoài miền xe</t>
  </si>
  <si>
    <t>Tỷ lệ sinh : thật hiện tại</t>
  </si>
  <si>
    <t>Đánh giá so với mục tiêu</t>
  </si>
  <si>
    <t>Ngưỡng 25% là mình đặt tạm.</t>
  </si>
  <si>
    <t>17 preset môi trường</t>
  </si>
  <si>
    <t>Dùng ở bước trộn nhiễu (bước 4). Cột xanh lá là bổ sung ở bản 0.3. E16, E17 thuộc phía loa phát (M5), không dùng cho ASR.</t>
  </si>
  <si>
    <t>Trạng thái xe</t>
  </si>
  <si>
    <t>Tốc độ (km/h)</t>
  </si>
  <si>
    <t>Ồn dB(A)</t>
  </si>
  <si>
    <t>Nguồn ồn</t>
  </si>
  <si>
    <t>SNR mục tiêu (dB)</t>
  </si>
  <si>
    <t>Mức điều hòa</t>
  </si>
  <si>
    <t>Cửa kính</t>
  </si>
  <si>
    <t>Nhạc</t>
  </si>
  <si>
    <t>Mưa</t>
  </si>
  <si>
    <t>Số người</t>
  </si>
  <si>
    <t>Mục tiêu đánh giá</t>
  </si>
  <si>
    <t>Case dùng</t>
  </si>
  <si>
    <t>Dùng cho ASR</t>
  </si>
  <si>
    <t>Có nguồn ồn thật</t>
  </si>
  <si>
    <t>Nguồn ồn gợi ý</t>
  </si>
  <si>
    <t>E01</t>
  </si>
  <si>
    <t>Đỗ xe, yên tĩnh</t>
  </si>
  <si>
    <t>Xe đứng yên, máy tắt hoặc chạy cầm chừng.</t>
  </si>
  <si>
    <t>Đỗ xe</t>
  </si>
  <si>
    <t>35–45</t>
  </si>
  <si>
    <t>Gần như không có; tiếng ngoài trời</t>
  </si>
  <si>
    <t>Đóng</t>
  </si>
  <si>
    <t>Độ tự nhiên, ngắt nghỉ, đọc đúng số</t>
  </si>
  <si>
    <t>CS03, CS06, CS07, CS09, CS10</t>
  </si>
  <si>
    <t>Nền yên tĩnh hoặc không trộn; làm đối chứng.</t>
  </si>
  <si>
    <t>Nội đô 30–50 km/h</t>
  </si>
  <si>
    <t>Chạy trong phố, xe máy và còi xung quanh.</t>
  </si>
  <si>
    <t>Nội đô</t>
  </si>
  <si>
    <t>55–65</t>
  </si>
  <si>
    <t>Lốp, giao thông ngoài, còi</t>
  </si>
  <si>
    <t>Độ rõ trong nhiễu vừa, đọc tên riêng</t>
  </si>
  <si>
    <t>CS01, CS03, CS04, CS05, CS06, CS07, CS08, CS10, CS11, CS12</t>
  </si>
  <si>
    <t>AISHELL-5 (nền ồn trong xe khoảng 40 giờ, chưa rõ điều kiện chạy) hoặc CAVEMOVE (ồn khi xe chạy); cần nghe và phân loại trước.</t>
  </si>
  <si>
    <t>Cao tốc 100–120 km/h</t>
  </si>
  <si>
    <t>Chạy tốc độ cao, gió và lốp lớn.</t>
  </si>
  <si>
    <t>Cao tốc</t>
  </si>
  <si>
    <t>68–75</t>
  </si>
  <si>
    <t>Gió, lốp, mặt đường</t>
  </si>
  <si>
    <t>Độ rõ khi ồn cao, nhận biết khẩn cấp</t>
  </si>
  <si>
    <t>CS01, CS02, CS06, CS09, CS12</t>
  </si>
  <si>
    <t>Như E02; cần chọn đoạn tốc độ cao nếu có nhãn.</t>
  </si>
  <si>
    <t>Mưa lớn, gạt nước</t>
  </si>
  <si>
    <t>Mưa to, gạt nước chạy liên tục.</t>
  </si>
  <si>
    <t>65–75</t>
  </si>
  <si>
    <t>Mưa, gạt nước, lốp trên mặt ướt</t>
  </si>
  <si>
    <t>Mưa to</t>
  </si>
  <si>
    <t>Độ rõ với nhiễu xung lặp</t>
  </si>
  <si>
    <t>CS02, CS08, CS09</t>
  </si>
  <si>
    <t>Chưa tìm được nguồn mưa trong xe; tự ghi hoặc kho âm thanh công khai (chưa kiểm giấy phép).</t>
  </si>
  <si>
    <t>Mở cửa kính khi chạy</t>
  </si>
  <si>
    <t>Cửa kính mở hoàn toàn, gió lùa vào khoang.</t>
  </si>
  <si>
    <t>72–85</t>
  </si>
  <si>
    <t>Gió lùa, giao thông ngoài</t>
  </si>
  <si>
    <t>Mở hoàn toàn</t>
  </si>
  <si>
    <t>Độ rõ phụ âm xát, mức khẩn cấp</t>
  </si>
  <si>
    <t>CS02, CS03</t>
  </si>
  <si>
    <t>Chưa tìm được nguồn; tự ghi một xe nếu có.</t>
  </si>
  <si>
    <t>Điều hòa quạt tối đa</t>
  </si>
  <si>
    <t>Quạt gió mức cao nhất khi trời nóng.</t>
  </si>
  <si>
    <t>Độ rõ phụ âm, đọc đúng mức/thông số</t>
  </si>
  <si>
    <t>Tự ghi quạt điều hòa hoặc kho công khai (chưa kiểm giấy phép).</t>
  </si>
  <si>
    <t>Nhạc lớn và hành khách nói chuyện</t>
  </si>
  <si>
    <t>Nhạc to, nhiều người nói chuyện cùng lúc.</t>
  </si>
  <si>
    <t>Nhạc, tiếng người (babble)</t>
  </si>
  <si>
    <t>Lớn</t>
  </si>
  <si>
    <t>Độ rõ khi có tiếng người, hạ nhạc (ducking)</t>
  </si>
  <si>
    <t>CS02, CS04, CS05, CS11, CS12</t>
  </si>
  <si>
    <t>Trộn nhạc (kiểm bản quyền) và giọng người từ kho giọng thật làm nền nhiều người nói.</t>
  </si>
  <si>
    <t>Xe điện chạy chậm, rất yên tĩnh</t>
  </si>
  <si>
    <t>Xe điện ở tốc độ thấp, nền ồn thấp.</t>
  </si>
  <si>
    <t>40–50</t>
  </si>
  <si>
    <t>Gió nhẹ, lốp, tiếng rít điện</t>
  </si>
  <si>
    <t>Độ tự nhiên khi nền yên, lỗi nhỏ lộ rõ</t>
  </si>
  <si>
    <t>CS04, CS07, CS10, CS11</t>
  </si>
  <si>
    <t>Chưa tìm được nguồn xe điện; tự ghi nếu có.</t>
  </si>
  <si>
    <t>E09</t>
  </si>
  <si>
    <t>Đường xấu, rung xóc</t>
  </si>
  <si>
    <t>Mặt đường gồ ghề, gờ giảm tốc.</t>
  </si>
  <si>
    <t>Đường xấu</t>
  </si>
  <si>
    <t>Lốp, rung, tiếng cấu trúc</t>
  </si>
  <si>
    <t>Độ rõ với nhiễu xung ngắt quãng</t>
  </si>
  <si>
    <t>Chưa tìm được nguồn; tự ghi nếu có.</t>
  </si>
  <si>
    <t>E10</t>
  </si>
  <si>
    <t>Hầm chui, dưới gầm cầu</t>
  </si>
  <si>
    <t>Phản xạ âm mạnh, vang, nền ồn tăng.</t>
  </si>
  <si>
    <t>Hầm</t>
  </si>
  <si>
    <t>70–80</t>
  </si>
  <si>
    <t>Phản xạ tiếng lốp, tiếng động cơ xe khác</t>
  </si>
  <si>
    <t>Độ rõ với vang, mất mạng giữa chừng</t>
  </si>
  <si>
    <t>CS01, CS12</t>
  </si>
  <si>
    <t>Cần đáp ứng xung hầm; chưa tìm được nguồn, có thể mô phỏng.</t>
  </si>
  <si>
    <t>E11</t>
  </si>
  <si>
    <t>Cuộc gọi qua Bluetooth</t>
  </si>
  <si>
    <t>Phát qua Bluetooth hands-free, băng thông hẹp.</t>
  </si>
  <si>
    <t>Nền nội đô, nén tín hiệu Bluetooth</t>
  </si>
  <si>
    <t>Độ dễ nghe qua Bluetooth, đọc số điện thoại</t>
  </si>
  <si>
    <t>Codec Bluetooth tất định (SBC, mSBC); chỉ áp dụng nếu mic đi qua Bluetooth.</t>
  </si>
  <si>
    <t>E12</t>
  </si>
  <si>
    <t>Kẹt xe, còi inh ỏi</t>
  </si>
  <si>
    <t>Đi chậm hoặc dừng, còi xe liên tục.</t>
  </si>
  <si>
    <t>Kẹt xe</t>
  </si>
  <si>
    <t>Còi xe, động cơ xe quanh</t>
  </si>
  <si>
    <t>Độ rõ với xung còi, câu bị che âm tiết</t>
  </si>
  <si>
    <t>CS01, CS08</t>
  </si>
  <si>
    <t>Còi xe từ kho âm thanh công khai (chưa kiểm giấy phép) trộn lên nền nội đô.</t>
  </si>
  <si>
    <t>E13</t>
  </si>
  <si>
    <t>Chuyển trạng thái giữa câu</t>
  </si>
  <si>
    <t>Nền ồn đổi giữa câu: vào hầm hoặc mở kính khi đang đọc.</t>
  </si>
  <si>
    <t>60–80 (đổi giữa câu)</t>
  </si>
  <si>
    <t>Chuyển từ nền nội đô sang phản xạ trong hầm</t>
  </si>
  <si>
    <t>Độ rõ đoạn cuối câu khi SNR tụt giữa chừng</t>
  </si>
  <si>
    <t>Ghép hai nền ồn theo thời gian (nội đô sang hầm).</t>
  </si>
  <si>
    <t>E14</t>
  </si>
  <si>
    <t>Âm báo xe chồng thông báo</t>
  </si>
  <si>
    <t>Chuông cảnh báo, xi-nhan hoặc bíp chồng lên giọng trợ lý.</t>
  </si>
  <si>
    <t>55–65 (kèm âm báo)</t>
  </si>
  <si>
    <t>Nền nội đô và âm báo của xe</t>
  </si>
  <si>
    <t>Độ rõ khi bị âm báo chồng</t>
  </si>
  <si>
    <t>Âm báo của xe: thu từ một xe thật hoặc từ tài liệu hãng.</t>
  </si>
  <si>
    <t>E15</t>
  </si>
  <si>
    <t>Cuộc gọi qua điện thoại (CarPlay, Android Auto)</t>
  </si>
  <si>
    <t>Giọng đi qua codec cuộc gọi băng hẹp của điện thoại.</t>
  </si>
  <si>
    <t>Nền nội đô, nén codec cuộc gọi</t>
  </si>
  <si>
    <t>Độ dễ nghe qua codec cuộc gọi, đọc số điện thoại</t>
  </si>
  <si>
    <t>Codec cuộc gọi tất định; chỉ áp dụng khi tiếng nói đi qua điện thoại.</t>
  </si>
  <si>
    <t>E16</t>
  </si>
  <si>
    <t>Mạng yếu khi TTS chạy đám mây</t>
  </si>
  <si>
    <t>Trễ biến động và mất gói trên đường truyền.</t>
  </si>
  <si>
    <t>Nền cao tốc; mạng mất gói và trễ</t>
  </si>
  <si>
    <t>Độ trễ phát, tỷ lệ ngắt quãng, chuyển sang giọng trên xe</t>
  </si>
  <si>
    <t>Không (M5)</t>
  </si>
  <si>
    <t>Dành cho TTS chạy đám mây phát ra loa; thuộc M5, ngoài phạm vi ASR.</t>
  </si>
  <si>
    <t>E17</t>
  </si>
  <si>
    <t>Loa quá tải, âm lượng cao</t>
  </si>
  <si>
    <t>Nhạc và ồn cao khiến phải tăng âm lượng, loa bị méo.</t>
  </si>
  <si>
    <t>Nhạc lớn, loa bị cắt đỉnh</t>
  </si>
  <si>
    <t>Độ rõ khi loa méo</t>
  </si>
  <si>
    <t>CS04, CS09</t>
  </si>
  <si>
    <t>Dành cho loa quá tải khi phát; thuộc M5, ngoài phạm vi ASR.</t>
  </si>
  <si>
    <t>Điểm giải pháp và điểm giữ giọng vùng</t>
  </si>
  <si>
    <t>Thang 10, nhận định của mình, không phải số đo. Trọng số bốn tiêu chí bằng nhau (cột Trung bình = AVERAGE). Điểm được chấm lại ở bản 0.3 nên có thể lệch vài điểm so với bảng trong chat trước.</t>
  </si>
  <si>
    <t>Khoảng trống</t>
  </si>
  <si>
    <t>Giải pháp</t>
  </si>
  <si>
    <t>Hiệu quả kỳ vọng</t>
  </si>
  <si>
    <t>Khả thi</t>
  </si>
  <si>
    <t>An toàn (ít rủi ro)</t>
  </si>
  <si>
    <t>Căn cứ</t>
  </si>
  <si>
    <t>S1</t>
  </si>
  <si>
    <t>Giữ giọng vùng</t>
  </si>
  <si>
    <t>Tinh chỉnh TTS trên giọng có nhãn vùng, cân bằng ba miền</t>
  </si>
  <si>
    <t>Singlish: độ giống giọng vùng của Chatterbox 0,51 → 0,64, có cả trên người nói chưa thấy; nhưng WER 11,5% → 15,4%. Chỉ thử trên tiếng Anh.</t>
  </si>
  <si>
    <t>S2</t>
  </si>
  <si>
    <t>Chọn đoạn giọng tham chiếu cùng vùng (kiểu CLARITY)</t>
  </si>
  <si>
    <t>CLARITY (chỉ đọc tóm tắt): viết lại text cho đúng phương ngữ và dùng đoạn tham chiếu cùng giọng; zero-shot vốn yếu ở giọng vùng.</t>
  </si>
  <si>
    <t>S3</t>
  </si>
  <si>
    <t>Điều kiện theo mã người nói (tập giọng đóng)</t>
  </si>
  <si>
    <t>Singlish: bản điều kiện theo mã người nói giữ giọng vùng tốt nhất (0,66) nhưng chỉ chạy với người đã thấy; cần nhiều giờ mỗi người.</t>
  </si>
  <si>
    <t>S4</t>
  </si>
  <si>
    <t>Điều hướng giọng không cần huấn luyện (activation steering, accent vector)</t>
  </si>
  <si>
    <t>Chỉ đọc tóm tắt; chủ yếu để bỏ hoặc điều khiển giọng trong tiếng Anh, trong khi bạn cần thêm giọng Trung.</t>
  </si>
  <si>
    <t>S5</t>
  </si>
  <si>
    <t>Độ giống người nói</t>
  </si>
  <si>
    <t>Chọn và làm sạch đoạn tham chiếu, đo bằng độ giống người nói</t>
  </si>
  <si>
    <t>WildSpoof (tóm tắt): làm sạch đoạn tham chiếu tăng độ bền; chưa đọc kết quả về độ dài và chất lượng đoạn.</t>
  </si>
  <si>
    <t>S6</t>
  </si>
  <si>
    <t>Coi độ giống là ràng buộc; ưu tiên số người nói và đa dạng câu</t>
  </si>
  <si>
    <t>Ogun et al. và Versatile TTS: thêm người nói chỉ giảm WER khoảng 2%; khoảng 50–100 người nói là đủ (Mân Nam, tiếng Anh).</t>
  </si>
  <si>
    <t>S7</t>
  </si>
  <si>
    <t>Từ địa phương</t>
  </si>
  <si>
    <t>Viết lại text theo từ vựng vùng, người bản ngữ duyệt</t>
  </si>
  <si>
    <t>Cần nhưng không đủ một mình: từ vựng đổi được bằng text, cách phát âm thì không (Jewell 2022).</t>
  </si>
  <si>
    <t>S8</t>
  </si>
  <si>
    <t>Số câu quá ít</t>
  </si>
  <si>
    <t>Mở rộng lên hàng nghìn câu khác nhau (mẫu × khe, LLM diễn đạt lại, người duyệt)</t>
  </si>
  <si>
    <t>Versatile TTS: đa dạng câu quan trọng hơn đa dạng người nói; dưới khoảng 10.000 câu thì CER tăng rõ (Mân Nam).</t>
  </si>
  <si>
    <t>S9</t>
  </si>
  <si>
    <t>Nhiễu xe</t>
  </si>
  <si>
    <t>Trộn nhiễu và vang vào âm thanh TTS khi tạo dữ liệu ASR</t>
  </si>
  <si>
    <t>Ogun et al.: nhiễu giảm WER 5,1%, nhiễu cộng vang 6,6% (tiếng Anh).</t>
  </si>
  <si>
    <t>S10</t>
  </si>
  <si>
    <t>Lombard</t>
  </si>
  <si>
    <t>Điều khiển TTS theo kiểu Lombard</t>
  </si>
  <si>
    <t>Paper Lombard TTS (tóm tắt): chưa có số liệu ASR.</t>
  </si>
  <si>
    <t>Lỗi đầu ra</t>
  </si>
  <si>
    <t>Lọc bằng ASR hai chiều và tỷ lệ độ dài, kiểm tỷ lệ loại theo vùng</t>
  </si>
  <si>
    <t>Singlish dùng lọc WER; paper đánh giá giọng vùng nói WER hạn chế với giọng ít dữ liệu.</t>
  </si>
  <si>
    <t>Đo giọng vùng</t>
  </si>
  <si>
    <t>Độ giống giọng vùng + nghe so sánh XAB bởi người bản ngữ + bộ phân loại phương ngữ</t>
  </si>
  <si>
    <t>ViMD: bộ phân loại giọng Trung chỉ đạt F1 62,5%, nên chỉ làm chỉ báo phụ.</t>
  </si>
  <si>
    <t>Tỷ lệ thật và sinh</t>
  </si>
  <si>
    <t>Trộn dữ liệu thật và dữ liệu sinh khoảng 1:1, theo dõi chỗ bão hòa</t>
  </si>
  <si>
    <t>Versatile TTS: tiếng Hàn 3.700 giờ thật + 4.000 giờ sinh, WER 8,48 → 6,31; thêm nữa gần như không cải thiện.</t>
  </si>
  <si>
    <t>H1</t>
  </si>
  <si>
    <t>Hướng dữ liệu</t>
  </si>
  <si>
    <t>Sinh dữ liệu miền xe bằng TTS thay cho dữ liệu xe thật</t>
  </si>
  <si>
    <t>Versatile TTS: từ khóa ô tô tiếng Hoa CER 21,32 → 13,15; chưa rõ phần dữ liệu thật có thuộc miền xe không.</t>
  </si>
  <si>
    <t>H2</t>
  </si>
  <si>
    <t>Trộn giọng thật ngoài miền xe + dữ liệu sinh miền xe</t>
  </si>
  <si>
    <t>Hai paper về TTS cho ASR đều thử trộn thật + sinh; chưa ai thử chỉ dùng dữ liệu sinh.</t>
  </si>
  <si>
    <t>H3</t>
  </si>
  <si>
    <t>Thêm tập sinh ngoài miền xe, cùng phân bố câu với tập thật (M3)</t>
  </si>
  <si>
    <t>Đề xuất của mình; có lý do về logic, chưa paper nào kiểm riêng thiết kế này.</t>
  </si>
  <si>
    <t>H4</t>
  </si>
  <si>
    <t>Dùng tiếng ồn xe thật (AISHELL-5, CAVEMOVE) thay cho tiếng ồn mô phỏng</t>
  </si>
  <si>
    <t>Nhiễu giúp (Ogun et al.); nhiễu xe thật tốt hơn nhiễu mô phỏng thì chưa có bằng chứng; giấy phép CC BY-SA cần cân nhắc.</t>
  </si>
  <si>
    <t>Không nên dùng</t>
  </si>
  <si>
    <t>Dịch cao độ hoặc đổi giọng để tăng độ phủ F0</t>
  </si>
  <si>
    <t>Không nên dùng: Ogun et al. thấy cả hai không hiệu quả (WER tệ hơn 0,8% và 2,2%). Chọn người nói có F0 tự nhiên khác nhau.</t>
  </si>
  <si>
    <t>Điểm giữ giọng vùng (thang 10, nhận định của mình)</t>
  </si>
  <si>
    <t>Zero-shot</t>
  </si>
  <si>
    <t>Có tinh chỉnh theo vùng</t>
  </si>
  <si>
    <t>Tăng thêm</t>
  </si>
  <si>
    <t>Nhận xét</t>
  </si>
  <si>
    <t>Giọng chuẩn, dữ liệu nhiều nhất; ít bị kéo lệch.</t>
  </si>
  <si>
    <t>Thanh hỏi và ngã gộp; có thể bị kéo về giọng chuẩn.</t>
  </si>
  <si>
    <t>Ít dữ liệu nhất, khó nhất với ASR (WER 17,15% ở ViMD); không phải một giọng duy nhất.</t>
  </si>
  <si>
    <t>Trung bình ba vùng</t>
  </si>
  <si>
    <t>Chưa có paper nào đo độ giữ giọng vùng của TTS tiếng Việt; các điểm này suy từ ViMD (WER theo vùng) và Singlish (tiếng Anh).</t>
  </si>
  <si>
    <t>Hồ sơ giọng thật sẽ clone</t>
  </si>
  <si>
    <t>Dòng 'Ví dụ' chỉ minh họa định dạng, không phải người thật, và không được tính vào số người đã chọn. Thay bằng người chọn từ bộ dữ liệu thật sau khi kiểm giấy phép.</t>
  </si>
  <si>
    <t>speaker_id</t>
  </si>
  <si>
    <t>Nguồn dữ liệu</t>
  </si>
  <si>
    <t>Mã trong bộ gốc</t>
  </si>
  <si>
    <t>Vùng (3)</t>
  </si>
  <si>
    <t>Tiểu vùng</t>
  </si>
  <si>
    <t>Giới</t>
  </si>
  <si>
    <t>F0 trung bình (Hz, đo)</t>
  </si>
  <si>
    <t>Dải F0</t>
  </si>
  <si>
    <t>Giờ giọng sạch có sẵn</t>
  </si>
  <si>
    <t>Số đoạn tham chiếu</t>
  </si>
  <si>
    <t>Độ dài đoạn tham chiếu (giây)</t>
  </si>
  <si>
    <t>SNR đoạn tham chiếu (dB, đo)</t>
  </si>
  <si>
    <t>Bản ngữ vùng duyệt</t>
  </si>
  <si>
    <t>Giấy phép cho phép clone</t>
  </si>
  <si>
    <t>Trạng thái</t>
  </si>
  <si>
    <t>VD-001</t>
  </si>
  <si>
    <t>(ví dụ) tên bộ dữ liệu</t>
  </si>
  <si>
    <t>(mã gốc)</t>
  </si>
  <si>
    <t>Bắc Bộ</t>
  </si>
  <si>
    <t>Thanh niên (18–34)</t>
  </si>
  <si>
    <t>Chưa</t>
  </si>
  <si>
    <t>Ví dụ</t>
  </si>
  <si>
    <t>Dòng ví dụ; thay khi có dữ liệu.</t>
  </si>
  <si>
    <t>VD-002</t>
  </si>
  <si>
    <t>Trung Bộ (chưa chia tiểu vùng)</t>
  </si>
  <si>
    <t>Trung niên (35–54)</t>
  </si>
  <si>
    <t>VD-003</t>
  </si>
  <si>
    <t>Nam Bộ</t>
  </si>
  <si>
    <t>Điều kiện cho đoạn tham chiếu: sạch, một người nói, không nhạc nền, không vang rõ, độ dài và SNR ghi lại; giọng đọc cùng vùng với từ vựng của câu sẽ sinh. Ngưỡng cụ thể chưa có bằng chứng.</t>
  </si>
  <si>
    <t>Nguồn dữ liệu và giấy phép</t>
  </si>
  <si>
    <t>Chỉ ghi điều đã kiểm qua bài báo hoặc trang dữ liệu; 'chưa rõ' nghĩa là chưa tìm thấy, cần đọc điều khoản gốc trước khi dùng.</t>
  </si>
  <si>
    <t>Nguồn</t>
  </si>
  <si>
    <t>Loại</t>
  </si>
  <si>
    <t>Dùng cho</t>
  </si>
  <si>
    <t>Giấy phép</t>
  </si>
  <si>
    <t>Tình trạng kiểm tra</t>
  </si>
  <si>
    <t>Quy mô</t>
  </si>
  <si>
    <t>PhoAudiobook</t>
  </si>
  <si>
    <t>Dữ liệu TTS tiếng Việt</t>
  </si>
  <si>
    <t>Tham khảo, giọng tham chiếu</t>
  </si>
  <si>
    <t>Chỉ phi thương mại (không nêu tên giấy phép cụ thể)</t>
  </si>
  <si>
    <t>Đã kiểm qua bài báo</t>
  </si>
  <si>
    <t>941 giờ, 735 giọng</t>
  </si>
  <si>
    <t>viVoice</t>
  </si>
  <si>
    <t>Dữ liệu giọng nói</t>
  </si>
  <si>
    <t>Tham khảo</t>
  </si>
  <si>
    <t>CC-BY-NC-SA 4.0</t>
  </si>
  <si>
    <t>Đã kiểm trong bài PhoASR (Bảng 1)</t>
  </si>
  <si>
    <t>VSV-1100</t>
  </si>
  <si>
    <t>Tham khảo, ASR</t>
  </si>
  <si>
    <t>Apache 2.0</t>
  </si>
  <si>
    <t>BUD500</t>
  </si>
  <si>
    <t>Bài PhoASR thấy nhiều nhãn sai</t>
  </si>
  <si>
    <t>LSVSC</t>
  </si>
  <si>
    <t>Phân loại phương ngữ, ASR</t>
  </si>
  <si>
    <t>CC-BY 4.0</t>
  </si>
  <si>
    <t>Có thông tin vùng</t>
  </si>
  <si>
    <t>ViMD</t>
  </si>
  <si>
    <t>Dữ liệu đa phương ngữ</t>
  </si>
  <si>
    <t>Tham chiếu phương ngữ</t>
  </si>
  <si>
    <t>CC-BY-NC-ND 4.0</t>
  </si>
  <si>
    <t>Điều khoản ND và NC hạn chế dùng thương mại và tạo bản phái sinh</t>
  </si>
  <si>
    <t>VietMed-L</t>
  </si>
  <si>
    <t>Dữ liệu y tế</t>
  </si>
  <si>
    <t>Ngoài miền xe</t>
  </si>
  <si>
    <t>CC-BY-4.0</t>
  </si>
  <si>
    <t>Nhiều nhãn sai theo bài PhoASR</t>
  </si>
  <si>
    <t>VIVOS</t>
  </si>
  <si>
    <t>Dữ liệu đọc</t>
  </si>
  <si>
    <t>Tập kiểm tra câu ngắn</t>
  </si>
  <si>
    <t>CC-BY-NC-SA-4.0</t>
  </si>
  <si>
    <t>Câu ngắn, dùng để thử TTS</t>
  </si>
  <si>
    <t>Common Voice tiếng Việt (CMV-vi-14)</t>
  </si>
  <si>
    <t>CC0</t>
  </si>
  <si>
    <t>Dưới 5 giờ đã duyệt</t>
  </si>
  <si>
    <t>FOSD, VLSP2020, Vietnam-Celeb</t>
  </si>
  <si>
    <t>Tùy chỉnh</t>
  </si>
  <si>
    <t>Đọc kỹ điều khoản từng bộ</t>
  </si>
  <si>
    <t>XTTS-v2</t>
  </si>
  <si>
    <t>Mô hình TTS</t>
  </si>
  <si>
    <t>Sinh giọng</t>
  </si>
  <si>
    <t>Coqui Public Model License (CPML)</t>
  </si>
  <si>
    <t>Đã kiểm trên trang mô hình</t>
  </si>
  <si>
    <t>Không có tiếng Việt trong 17 ngôn ngữ chính thức</t>
  </si>
  <si>
    <t>F5-TTS</t>
  </si>
  <si>
    <t>Sinh giọng, điều khiển tốc độ</t>
  </si>
  <si>
    <t>Chưa kiểm tra giấy phép trọng số</t>
  </si>
  <si>
    <t>Chưa kiểm</t>
  </si>
  <si>
    <t>Bài báo nêu RTF 0,15</t>
  </si>
  <si>
    <t>viXTTS</t>
  </si>
  <si>
    <t>Mô hình TTS tiếng Việt</t>
  </si>
  <si>
    <t>Mô hình đối chứng</t>
  </si>
  <si>
    <t>Theo khảo sát trước ghi là hạn chế thương mại (CPML)</t>
  </si>
  <si>
    <t>Chưa kiểm lại</t>
  </si>
  <si>
    <t>Tinh chỉnh từ XTTS-v2 trên viVoice theo bài PhoAudiobook</t>
  </si>
  <si>
    <t>MUSAN, DEMAND, FSD50K, DNS Challenge noise</t>
  </si>
  <si>
    <t>Kho tiếng ồn</t>
  </si>
  <si>
    <t>Nền ồn chung</t>
  </si>
  <si>
    <t>Chưa kiểm tra</t>
  </si>
  <si>
    <t>Kiểm từng bộ trước khi dùng thương mại</t>
  </si>
  <si>
    <t>OpenSLR RIRS_NOISES, BUT ReverbDB</t>
  </si>
  <si>
    <t>Kho đáp ứng xung</t>
  </si>
  <si>
    <t>RIR tham khảo</t>
  </si>
  <si>
    <t>Chủ yếu là phòng, không phải khoang xe</t>
  </si>
  <si>
    <t>pyroomacoustics, audiomentations, pyloudnorm, pyworld, librosa, Parselmouth</t>
  </si>
  <si>
    <t>Thư viện</t>
  </si>
  <si>
    <t>Mô phỏng và đo</t>
  </si>
  <si>
    <t>Kiểm giấy phép khi đưa vào sản phẩm</t>
  </si>
  <si>
    <t>Bộ xử lý âm thanh WebRTC</t>
  </si>
  <si>
    <t>AEC, NS, AGC</t>
  </si>
  <si>
    <t>ffmpeg, SoX, tc netem</t>
  </si>
  <si>
    <t>Công cụ</t>
  </si>
  <si>
    <t>Mã hóa, biến đổi, mô phỏng mạng</t>
  </si>
  <si>
    <t>Kiểm hỗ trợ SBC, mSBC, AMR trong bản cài của bạn</t>
  </si>
  <si>
    <t>PhoWhisper, ChunkFormer, WhisperX</t>
  </si>
  <si>
    <t>Mô hình ASR và căn chỉnh</t>
  </si>
  <si>
    <t>Kiểm WER, đo tốc độ</t>
  </si>
  <si>
    <t>Có nêu trong bài PhoASR</t>
  </si>
  <si>
    <t>Giám khảo ASR có thiên lệch theo giọng</t>
  </si>
  <si>
    <t>PhoTextNormalization</t>
  </si>
  <si>
    <t>Mô hình chuẩn hóa văn bản</t>
  </si>
  <si>
    <t>Chuẩn hóa số, viết tắt</t>
  </si>
  <si>
    <t>OpenStreetMap</t>
  </si>
  <si>
    <t>Dữ liệu địa danh</t>
  </si>
  <si>
    <t>Tên đường, địa danh</t>
  </si>
  <si>
    <t>ODbL (cần ghi nguồn)</t>
  </si>
  <si>
    <t>Hiểu biết chung, chưa kiểm lại</t>
  </si>
  <si>
    <t>Tài liệu đã dùng</t>
  </si>
  <si>
    <t>Mức đã đọc: bảng kết quả hoặc toàn văn so với chỉ đọc tóm tắt. Điểm chỉ dựa trên tóm tắt nên coi là gợi ý.</t>
  </si>
  <si>
    <t>Tài liệu</t>
  </si>
  <si>
    <t>Đường dẫn</t>
  </si>
  <si>
    <t>Mức đã đọc</t>
  </si>
  <si>
    <t>Zero-Shot Text-to-Speech for Vietnamese (PhoAudiobook)</t>
  </si>
  <si>
    <t>https://arxiv.org/abs/2506.01322</t>
  </si>
  <si>
    <t>941 giờ, 16 kHz, clip 10–20 s; kết quả XTTS-v2, VALL-E, VoiceCraft</t>
  </si>
  <si>
    <t>Đã đọc bảng kết quả</t>
  </si>
  <si>
    <t>Singlish, Can or Not? (Chatterbox, CosyVoice 3)</t>
  </si>
  <si>
    <t>https://arxiv.org/abs/2607.23027</t>
  </si>
  <si>
    <t>Zero-shot mất giọng vùng; tinh chỉnh cải thiện; số liệu giống người nói và giọng vùng</t>
  </si>
  <si>
    <t>Enhancing Low-Resource ASR through Versatile TTS</t>
  </si>
  <si>
    <t>https://arxiv.org/abs/2410.16726</t>
  </si>
  <si>
    <t>Số người nói, số câu, tỷ lệ thật/sinh; từ khóa ô tô, phương ngữ</t>
  </si>
  <si>
    <t>Đã đọc bảng; dữ liệu nội bộ, một mô hình TTS</t>
  </si>
  <si>
    <t>An Exhaustive Evaluation of TTS- and VC-based Data Augmentation for ASR</t>
  </si>
  <si>
    <t>https://arxiv.org/abs/2503.08954</t>
  </si>
  <si>
    <t>Nhiễu, vang, người nói, cao độ: yếu tố nào giúp ASR</t>
  </si>
  <si>
    <t>Đã đọc bảng; tiếng Anh, Glow-TTS</t>
  </si>
  <si>
    <t>Multi-Dialect Vietnamese: ViMD</t>
  </si>
  <si>
    <t>https://arxiv.org/html/2410.03458v1</t>
  </si>
  <si>
    <t>102,56 giờ, 63 tỉnh; WER theo vùng; giọng Trung khó nhất</t>
  </si>
  <si>
    <t>Đã đọc</t>
  </si>
  <si>
    <t>Cross-dialectal perception of Vietnamese tones (Jewell, Yale 2022)</t>
  </si>
  <si>
    <t>https://ling.yale.edu/media/227/download</t>
  </si>
  <si>
    <t>Khác biệt thanh điệu, phụ âm, từ vựng giữa các vùng</t>
  </si>
  <si>
    <t>Vietnamese Speech Command Recognition (VSC_FU)</t>
  </si>
  <si>
    <t>https://ftp.saiconference.com/Downloads/Volume10No7/Paper_28-Vietnamese_Speech_Command_Recognition.pdf</t>
  </si>
  <si>
    <t>293 người, 3 miền, 15 lệnh, 8 kHz</t>
  </si>
  <si>
    <t>AISHELL-5 (OpenSLR 159)</t>
  </si>
  <si>
    <t>https://openslr.org/159/</t>
  </si>
  <si>
    <t>Khoảng 40 giờ nền ồn trong xe; CC BY-SA 4.0</t>
  </si>
  <si>
    <t>Đã đọc trang dữ liệu</t>
  </si>
  <si>
    <t>CAVEMOVE</t>
  </si>
  <si>
    <t>https://arxiv.org/abs/2508.19691</t>
  </si>
  <si>
    <t>Nhiễu và đáp ứng xung trong xe</t>
  </si>
  <si>
    <t>Chỉ đọc tóm tắt; giấy phép chưa rõ</t>
  </si>
  <si>
    <t>VietPrism</t>
  </si>
  <si>
    <t>https://arxiv.org/abs/2609.30005</t>
  </si>
  <si>
    <t>993 giờ giọng thật, 5 nhóm phương ngữ</t>
  </si>
  <si>
    <t>SmartNLU (Interspeech 2022)</t>
  </si>
  <si>
    <t>https://www.isca-archive.org/interspeech_2022/nguyen22c_interspeech.html</t>
  </si>
  <si>
    <t>Văn bản nhà thông minh tiếng Việt</t>
  </si>
  <si>
    <t>Chỉ đọc tóm tắt; chưa rõ có âm thanh</t>
  </si>
  <si>
    <t>Accent Analogy Guidance</t>
  </si>
  <si>
    <t>https://arxiv.org/abs/2609.29123</t>
  </si>
  <si>
    <t>Đánh đổi giữa độ giống người nói và giọng</t>
  </si>
  <si>
    <t>Chỉ đọc tóm tắt</t>
  </si>
  <si>
    <t>Activation Steering for Accent-Neutralized Zero-Shot TTS</t>
  </si>
  <si>
    <t>https://arxiv.org/abs/2603.05977</t>
  </si>
  <si>
    <t>Điều hướng giọng</t>
  </si>
  <si>
    <t>Accent Vector</t>
  </si>
  <si>
    <t>https://arxiv.org/abs/2603.07534</t>
  </si>
  <si>
    <t>Điều khiển giọng không cần dữ liệu giọng</t>
  </si>
  <si>
    <t>CLARITY</t>
  </si>
  <si>
    <t>https://www.alphaxiv.org/abs/2511.11104</t>
  </si>
  <si>
    <t>Viết lại text và dùng đoạn tham chiếu cùng giọng</t>
  </si>
  <si>
    <t>Pairwise Evaluation of Accent Similarity in Speech Synthesis</t>
  </si>
  <si>
    <t>https://arxiv.org/abs/2505.14410</t>
  </si>
  <si>
    <t>WER hạn chế với giọng ít dữ liệu; cách đo giọng vùng</t>
  </si>
  <si>
    <t>Evaluating and reducing the distance between synthetic and real speech</t>
  </si>
  <si>
    <t>https://arxiv.org/abs/2211.16049</t>
  </si>
  <si>
    <t>Khoảng cách phân bố thật và sinh</t>
  </si>
  <si>
    <t>Zero-Shot TTS With Enhanced Audio Prompts (WildSpoof)</t>
  </si>
  <si>
    <t>https://arxiv.org/abs/2602.05770</t>
  </si>
  <si>
    <t>Làm sạch đoạn tham chiếu</t>
  </si>
  <si>
    <t>Synthesizing the Lombard Effect in TTS</t>
  </si>
  <si>
    <t>https://arxiv.org/abs/2606.23176</t>
  </si>
  <si>
    <t>TTS mô phỏng hiệu ứng Lombard</t>
  </si>
  <si>
    <t>Từ vựng vùng miền</t>
  </si>
  <si>
    <t>Gợi ý ban đầu; người bản ngữ từng vùng cần duyệt trước khi dùng. Ô trống = chưa có từ riêng, dùng từ chuẩn chung.</t>
  </si>
  <si>
    <t>Khái niệm</t>
  </si>
  <si>
    <t>Giao thông</t>
  </si>
  <si>
    <t>rẽ (đổi hướng)</t>
  </si>
  <si>
    <t>rẽ</t>
  </si>
  <si>
    <t>quẹo</t>
  </si>
  <si>
    <t>Lệnh dẫn đường và lệnh người dùng</t>
  </si>
  <si>
    <t>phanh xe</t>
  </si>
  <si>
    <t>phanh</t>
  </si>
  <si>
    <t>thắng</t>
  </si>
  <si>
    <t>Cảnh báo phanh gấp</t>
  </si>
  <si>
    <t>ngõ nhỏ trong thành phố</t>
  </si>
  <si>
    <t>ngõ / ngách</t>
  </si>
  <si>
    <t>hẻm</t>
  </si>
  <si>
    <t>Địa chỉ, dẫn đường nội đô</t>
  </si>
  <si>
    <t>tắc đường</t>
  </si>
  <si>
    <t>kẹt xe</t>
  </si>
  <si>
    <t>Bản tin giao thông</t>
  </si>
  <si>
    <t>vòng xuyến</t>
  </si>
  <si>
    <t>vòng xoay / bùng binh</t>
  </si>
  <si>
    <t>Dẫn đường tại nút giao</t>
  </si>
  <si>
    <t>lề đường</t>
  </si>
  <si>
    <t>vỉa hè</t>
  </si>
  <si>
    <t>Hướng dẫn đỗ xe</t>
  </si>
  <si>
    <t>đỗ xe</t>
  </si>
  <si>
    <t>đậu xe</t>
  </si>
  <si>
    <t>Lệnh tìm chỗ đỗ</t>
  </si>
  <si>
    <t>cây xăng</t>
  </si>
  <si>
    <t>cây xăng / trạm xăng</t>
  </si>
  <si>
    <t>Tìm trạm nhiên liệu</t>
  </si>
  <si>
    <t>Thiết bị trên xe</t>
  </si>
  <si>
    <t>kính xe</t>
  </si>
  <si>
    <t>kiếng</t>
  </si>
  <si>
    <t>Điều khiển cửa kính</t>
  </si>
  <si>
    <t>lốp xe</t>
  </si>
  <si>
    <t>lốp</t>
  </si>
  <si>
    <t>vỏ / lốp</t>
  </si>
  <si>
    <t>Cảnh báo áp suất lốp</t>
  </si>
  <si>
    <t>đồng ý, lịch sự</t>
  </si>
  <si>
    <t>vâng</t>
  </si>
  <si>
    <t>dạ</t>
  </si>
  <si>
    <t>Câu trả lời của trợ lý</t>
  </si>
  <si>
    <t>từ đệm cuối câu</t>
  </si>
  <si>
    <t>nhé</t>
  </si>
  <si>
    <t>nha / nghen</t>
  </si>
  <si>
    <t>Câu thân thiện</t>
  </si>
  <si>
    <t>mẹ</t>
  </si>
  <si>
    <t>mạ</t>
  </si>
  <si>
    <t>má</t>
  </si>
  <si>
    <t>Danh bạ, gọi điện</t>
  </si>
  <si>
    <t>bố</t>
  </si>
  <si>
    <t>ba / tía</t>
  </si>
  <si>
    <t>Chỉ thị</t>
  </si>
  <si>
    <t>như vậy</t>
  </si>
  <si>
    <t>thế</t>
  </si>
  <si>
    <t>rứa</t>
  </si>
  <si>
    <t>vậy</t>
  </si>
  <si>
    <t>Hội thoại</t>
  </si>
  <si>
    <t>Cách đọc số</t>
  </si>
  <si>
    <t>số 105</t>
  </si>
  <si>
    <t>một trăm lẻ năm</t>
  </si>
  <si>
    <t>một trăm linh năm</t>
  </si>
  <si>
    <t>Bộ chuẩn hóa văn bản</t>
  </si>
  <si>
    <t>1.000 đồng</t>
  </si>
  <si>
    <t>một nghìn</t>
  </si>
  <si>
    <t>một ngàn</t>
  </si>
  <si>
    <t>Giá nhiên liệu, phí đường</t>
  </si>
  <si>
    <t>muc_dich</t>
  </si>
  <si>
    <t>buoc</t>
  </si>
  <si>
    <t>asr_lien_quan</t>
  </si>
  <si>
    <t>vung_3</t>
  </si>
  <si>
    <t>gender</t>
  </si>
  <si>
    <t>age_group</t>
  </si>
  <si>
    <t>tieu_vung</t>
  </si>
  <si>
    <t>f0_band</t>
  </si>
  <si>
    <t>voice_quality</t>
  </si>
  <si>
    <t>ho_so_status</t>
  </si>
  <si>
    <t>kiem</t>
  </si>
  <si>
    <t>Trẻ em (dưới 13)</t>
  </si>
  <si>
    <t>Thiếu niên (13–17)</t>
  </si>
  <si>
    <t>Bắc Trung Bộ</t>
  </si>
  <si>
    <t>Khàn</t>
  </si>
  <si>
    <t>Đã chọn</t>
  </si>
  <si>
    <t>Đạt</t>
  </si>
  <si>
    <t>Nam Trung Bộ</t>
  </si>
  <si>
    <t>Thều thào/hơi gió</t>
  </si>
  <si>
    <t>Đã kiểm</t>
  </si>
  <si>
    <t>Không đạt</t>
  </si>
  <si>
    <t>Tây Nguyên</t>
  </si>
  <si>
    <t>Rất cao</t>
  </si>
  <si>
    <t>Căng/the thé</t>
  </si>
  <si>
    <t>Cao tuổi (55 trở lên)</t>
  </si>
  <si>
    <t>Nghẹt mũi</t>
  </si>
  <si>
    <t>Giọng pha / không xác định</t>
  </si>
  <si>
    <t>Versatile TTS và Ogun et al.: khoảng 50–100 người nói là đủ.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</si>
</sst>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charset val="1"/>
    </font>
    <font>
      <sz val="10"/>
      <name val="Arial"/>
      <family val="2"/>
    </font>
    <font>
      <b/>
      <sz val="14"/>
      <name val="Arial"/>
      <family val="2"/>
    </font>
    <font>
      <i/>
      <sz val="9"/>
      <color rgb="FF595959"/>
      <name val="Arial"/>
      <family val="2"/>
    </font>
    <font>
      <b/>
      <sz val="10"/>
      <name val="Arial"/>
      <family val="2"/>
    </font>
    <font>
      <sz val="10"/>
      <name val="Arial"/>
      <family val="2"/>
    </font>
    <font>
      <sz val="10"/>
      <color rgb="FF0000FF"/>
      <name val="Arial"/>
      <family val="2"/>
    </font>
    <font>
      <b/>
      <sz val="10"/>
      <color rgb="FFFFFFFF"/>
      <name val="Arial"/>
      <family val="2"/>
    </font>
    <font>
      <sz val="10"/>
      <color rgb="FF008000"/>
      <name val="Arial"/>
      <family val="2"/>
    </font>
  </fonts>
  <fills count="7">
    <fill>
      <patternFill patternType="none"/>
    </fill>
    <fill>
      <patternFill patternType="gray125"/>
    </fill>
    <fill>
      <patternFill patternType="solid">
        <fgColor rgb="FFD9E1F2"/>
        <bgColor rgb="FFCCFFFF"/>
      </patternFill>
    </fill>
    <fill>
      <patternFill patternType="solid">
        <fgColor rgb="FFFFFF00"/>
        <bgColor rgb="FFFFFF00"/>
      </patternFill>
    </fill>
    <fill>
      <patternFill patternType="solid">
        <fgColor rgb="FF1F3864"/>
        <bgColor rgb="FF333333"/>
      </patternFill>
    </fill>
    <fill>
      <patternFill patternType="solid">
        <fgColor rgb="FF548235"/>
        <bgColor rgb="FF339966"/>
      </patternFill>
    </fill>
    <fill>
      <patternFill patternType="solid">
        <fgColor rgb="FF7F7F7F"/>
        <bgColor rgb="FF9696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2" fillId="0" borderId="0" xfId="0" applyFont="1"/>
    <xf numFmtId="0" fontId="3" fillId="0" borderId="0" xfId="0" applyFont="1"/>
    <xf numFmtId="0" fontId="4" fillId="2" borderId="0" xfId="0" applyFont="1" applyFill="1"/>
    <xf numFmtId="0" fontId="0" fillId="2" borderId="0" xfId="0" applyFill="1"/>
    <xf numFmtId="0" fontId="4" fillId="0" borderId="0" xfId="0" applyFont="1" applyAlignment="1">
      <alignment vertical="top" wrapText="1"/>
    </xf>
    <xf numFmtId="0" fontId="5" fillId="0" borderId="0" xfId="0" applyFont="1" applyAlignment="1">
      <alignment vertical="top" wrapText="1"/>
    </xf>
    <xf numFmtId="0" fontId="4" fillId="0" borderId="0" xfId="0" applyFont="1"/>
    <xf numFmtId="0" fontId="5" fillId="0" borderId="0" xfId="0" applyFont="1" applyAlignment="1">
      <alignment horizontal="left"/>
    </xf>
    <xf numFmtId="0" fontId="6" fillId="3" borderId="0" xfId="0" applyFont="1" applyFill="1" applyAlignment="1">
      <alignment horizontal="left"/>
    </xf>
    <xf numFmtId="0" fontId="5" fillId="0" borderId="0" xfId="0" applyFont="1"/>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vertical="top" wrapText="1"/>
    </xf>
    <xf numFmtId="9" fontId="8" fillId="0" borderId="1" xfId="0" applyNumberFormat="1" applyFont="1" applyBorder="1" applyAlignment="1">
      <alignment vertical="top" wrapText="1"/>
    </xf>
    <xf numFmtId="3" fontId="8" fillId="0" borderId="1" xfId="0" applyNumberFormat="1" applyFont="1" applyBorder="1" applyAlignment="1">
      <alignment vertical="top" wrapText="1"/>
    </xf>
    <xf numFmtId="0" fontId="4" fillId="0" borderId="1" xfId="0" applyFont="1" applyBorder="1"/>
    <xf numFmtId="0" fontId="4" fillId="0" borderId="1" xfId="0" applyFont="1" applyBorder="1" applyAlignment="1">
      <alignment vertical="top" wrapText="1"/>
    </xf>
    <xf numFmtId="0" fontId="6" fillId="3" borderId="1" xfId="0" applyFont="1" applyFill="1" applyBorder="1" applyAlignment="1">
      <alignment horizontal="center" vertical="top"/>
    </xf>
    <xf numFmtId="0" fontId="7" fillId="6" borderId="1" xfId="0" applyFont="1" applyFill="1" applyBorder="1" applyAlignment="1">
      <alignment horizontal="center" vertical="center" wrapText="1"/>
    </xf>
    <xf numFmtId="0" fontId="5" fillId="0" borderId="1" xfId="0" applyFont="1" applyBorder="1"/>
    <xf numFmtId="1" fontId="6" fillId="3" borderId="1" xfId="0" applyNumberFormat="1" applyFont="1" applyFill="1" applyBorder="1" applyAlignment="1">
      <alignment horizontal="right"/>
    </xf>
    <xf numFmtId="9" fontId="6" fillId="3" borderId="1" xfId="0" applyNumberFormat="1" applyFont="1" applyFill="1" applyBorder="1" applyAlignment="1">
      <alignment horizontal="right"/>
    </xf>
    <xf numFmtId="9" fontId="5" fillId="0" borderId="1" xfId="0" applyNumberFormat="1" applyFont="1" applyBorder="1"/>
    <xf numFmtId="3" fontId="6" fillId="3" borderId="1" xfId="0" applyNumberFormat="1" applyFont="1" applyFill="1" applyBorder="1" applyAlignment="1">
      <alignment horizontal="right"/>
    </xf>
    <xf numFmtId="164" fontId="6" fillId="3" borderId="1" xfId="0" applyNumberFormat="1" applyFont="1" applyFill="1" applyBorder="1" applyAlignment="1">
      <alignment horizontal="right"/>
    </xf>
    <xf numFmtId="9" fontId="5" fillId="0" borderId="1" xfId="0" applyNumberFormat="1" applyFont="1" applyBorder="1" applyAlignment="1">
      <alignment horizontal="center" vertical="top"/>
    </xf>
    <xf numFmtId="0" fontId="4" fillId="0" borderId="1" xfId="0" applyFont="1" applyBorder="1" applyAlignment="1">
      <alignment horizontal="center" vertical="top"/>
    </xf>
    <xf numFmtId="9" fontId="6" fillId="3" borderId="1" xfId="0" applyNumberFormat="1" applyFont="1" applyFill="1" applyBorder="1" applyAlignment="1">
      <alignment horizontal="center" vertical="top"/>
    </xf>
    <xf numFmtId="3" fontId="5" fillId="0" borderId="1" xfId="0" applyNumberFormat="1" applyFont="1" applyBorder="1" applyAlignment="1">
      <alignment horizontal="center" vertical="top"/>
    </xf>
    <xf numFmtId="164" fontId="5" fillId="0" borderId="1" xfId="0" applyNumberFormat="1" applyFont="1" applyBorder="1" applyAlignment="1">
      <alignment horizontal="center" vertical="top"/>
    </xf>
    <xf numFmtId="9" fontId="4" fillId="0" borderId="1" xfId="0" applyNumberFormat="1" applyFont="1" applyBorder="1" applyAlignment="1">
      <alignment horizontal="center" vertical="top"/>
    </xf>
    <xf numFmtId="3" fontId="4" fillId="0" borderId="1" xfId="0" applyNumberFormat="1" applyFont="1" applyBorder="1" applyAlignment="1">
      <alignment horizontal="center" vertical="top"/>
    </xf>
    <xf numFmtId="164" fontId="4" fillId="0" borderId="1" xfId="0" applyNumberFormat="1" applyFont="1" applyBorder="1" applyAlignment="1">
      <alignment horizontal="center" vertical="top"/>
    </xf>
    <xf numFmtId="164" fontId="5" fillId="0" borderId="1" xfId="0" applyNumberFormat="1" applyFont="1" applyBorder="1" applyAlignment="1">
      <alignment horizontal="right"/>
    </xf>
    <xf numFmtId="165" fontId="5" fillId="0" borderId="1" xfId="0" applyNumberFormat="1" applyFont="1" applyBorder="1" applyAlignment="1">
      <alignment horizontal="right"/>
    </xf>
    <xf numFmtId="2" fontId="5" fillId="0" borderId="1" xfId="0" applyNumberFormat="1" applyFont="1" applyBorder="1" applyAlignment="1">
      <alignment horizontal="right"/>
    </xf>
    <xf numFmtId="49" fontId="5" fillId="0" borderId="1" xfId="0" applyNumberFormat="1" applyFont="1" applyBorder="1" applyAlignment="1">
      <alignment horizontal="right"/>
    </xf>
    <xf numFmtId="0" fontId="6" fillId="0" borderId="1" xfId="0" applyFont="1" applyBorder="1" applyAlignment="1">
      <alignment horizontal="center" vertical="top"/>
    </xf>
    <xf numFmtId="0" fontId="6" fillId="3" borderId="1" xfId="0" applyFont="1" applyFill="1" applyBorder="1" applyAlignment="1">
      <alignment vertical="top" wrapText="1"/>
    </xf>
    <xf numFmtId="0" fontId="7" fillId="4" borderId="0" xfId="0" applyFont="1" applyFill="1"/>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GridLines="0" topLeftCell="A8" zoomScaleNormal="100" workbookViewId="0">
      <selection activeCell="B26" sqref="B26"/>
    </sheetView>
  </sheetViews>
  <sheetFormatPr defaultColWidth="8.6640625" defaultRowHeight="14.4" x14ac:dyDescent="0.3"/>
  <cols>
    <col min="1" max="1" width="30" customWidth="1"/>
    <col min="2" max="2" width="90" customWidth="1"/>
    <col min="3" max="3" width="18" customWidth="1"/>
    <col min="4" max="4" width="40" customWidth="1"/>
  </cols>
  <sheetData>
    <row r="1" spans="1:4" ht="17.399999999999999" x14ac:dyDescent="0.3">
      <c r="A1" s="1" t="s">
        <v>0</v>
      </c>
    </row>
    <row r="2" spans="1:4" x14ac:dyDescent="0.3">
      <c r="A2" s="2" t="s">
        <v>1</v>
      </c>
    </row>
    <row r="4" spans="1:4" x14ac:dyDescent="0.3">
      <c r="A4" s="3" t="s">
        <v>2</v>
      </c>
      <c r="B4" s="4"/>
      <c r="C4" s="4"/>
      <c r="D4" s="4"/>
    </row>
    <row r="5" spans="1:4" ht="39.6" x14ac:dyDescent="0.3">
      <c r="A5" s="5" t="s">
        <v>3</v>
      </c>
      <c r="B5" s="6" t="s">
        <v>4</v>
      </c>
    </row>
    <row r="6" spans="1:4" x14ac:dyDescent="0.3">
      <c r="A6" s="7" t="s">
        <v>5</v>
      </c>
      <c r="B6" s="8">
        <f>COUNTIF(Yeu_to!$G$4:$G$74,"1.*")</f>
        <v>15</v>
      </c>
    </row>
    <row r="7" spans="1:4" x14ac:dyDescent="0.3">
      <c r="A7" s="7" t="s">
        <v>6</v>
      </c>
      <c r="B7" s="8">
        <f>COUNTA(Yeu_to!$C$4:$C$74)-B6</f>
        <v>56</v>
      </c>
    </row>
    <row r="8" spans="1:4" x14ac:dyDescent="0.3">
      <c r="A8" s="7" t="s">
        <v>7</v>
      </c>
      <c r="B8" s="8">
        <f>COUNTA(Yeu_to!$C$4:$C$74)</f>
        <v>71</v>
      </c>
    </row>
    <row r="10" spans="1:4" x14ac:dyDescent="0.3">
      <c r="A10" s="3" t="s">
        <v>8</v>
      </c>
      <c r="B10" s="4"/>
      <c r="C10" s="4"/>
      <c r="D10" s="4"/>
    </row>
    <row r="11" spans="1:4" x14ac:dyDescent="0.3">
      <c r="A11" s="5" t="s">
        <v>9</v>
      </c>
      <c r="B11" s="6" t="s">
        <v>10</v>
      </c>
    </row>
    <row r="12" spans="1:4" ht="26.4" x14ac:dyDescent="0.3">
      <c r="A12" s="5" t="s">
        <v>11</v>
      </c>
      <c r="B12" s="6" t="s">
        <v>12</v>
      </c>
    </row>
    <row r="13" spans="1:4" ht="26.4" x14ac:dyDescent="0.3">
      <c r="A13" s="5" t="s">
        <v>13</v>
      </c>
      <c r="B13" s="6" t="s">
        <v>14</v>
      </c>
    </row>
    <row r="14" spans="1:4" x14ac:dyDescent="0.3">
      <c r="A14" s="5" t="s">
        <v>15</v>
      </c>
      <c r="B14" s="6" t="s">
        <v>16</v>
      </c>
    </row>
    <row r="15" spans="1:4" x14ac:dyDescent="0.3">
      <c r="A15" s="5" t="s">
        <v>17</v>
      </c>
      <c r="B15" s="6" t="s">
        <v>18</v>
      </c>
    </row>
    <row r="16" spans="1:4" x14ac:dyDescent="0.3">
      <c r="A16" s="5" t="s">
        <v>19</v>
      </c>
      <c r="B16" s="6" t="s">
        <v>20</v>
      </c>
    </row>
    <row r="18" spans="1:4" x14ac:dyDescent="0.3">
      <c r="A18" s="3" t="s">
        <v>21</v>
      </c>
      <c r="B18" s="4"/>
      <c r="C18" s="4"/>
      <c r="D18" s="4"/>
    </row>
    <row r="19" spans="1:4" x14ac:dyDescent="0.3">
      <c r="A19" s="5" t="s">
        <v>22</v>
      </c>
      <c r="B19" s="6" t="s">
        <v>23</v>
      </c>
    </row>
    <row r="20" spans="1:4" ht="26.4" x14ac:dyDescent="0.3">
      <c r="A20" s="5" t="s">
        <v>24</v>
      </c>
      <c r="B20" s="6" t="s">
        <v>25</v>
      </c>
    </row>
    <row r="21" spans="1:4" x14ac:dyDescent="0.3">
      <c r="A21" s="5" t="s">
        <v>26</v>
      </c>
      <c r="B21" s="6" t="s">
        <v>27</v>
      </c>
    </row>
    <row r="22" spans="1:4" x14ac:dyDescent="0.3">
      <c r="A22" s="5" t="s">
        <v>28</v>
      </c>
      <c r="B22" s="6" t="s">
        <v>29</v>
      </c>
    </row>
    <row r="23" spans="1:4" x14ac:dyDescent="0.3">
      <c r="A23" s="5" t="s">
        <v>30</v>
      </c>
      <c r="B23" s="6" t="s">
        <v>31</v>
      </c>
    </row>
    <row r="24" spans="1:4" x14ac:dyDescent="0.3">
      <c r="A24" s="5" t="s">
        <v>32</v>
      </c>
      <c r="B24" s="6" t="s">
        <v>33</v>
      </c>
    </row>
    <row r="25" spans="1:4" x14ac:dyDescent="0.3">
      <c r="A25" s="5" t="s">
        <v>34</v>
      </c>
      <c r="B25" s="6" t="s">
        <v>35</v>
      </c>
    </row>
    <row r="26" spans="1:4" x14ac:dyDescent="0.3">
      <c r="A26" s="5" t="s">
        <v>36</v>
      </c>
      <c r="B26" s="6" t="s">
        <v>37</v>
      </c>
    </row>
    <row r="27" spans="1:4" x14ac:dyDescent="0.3">
      <c r="A27" s="5" t="s">
        <v>38</v>
      </c>
      <c r="B27" s="6" t="s">
        <v>39</v>
      </c>
    </row>
    <row r="28" spans="1:4" x14ac:dyDescent="0.3">
      <c r="A28" s="5" t="s">
        <v>40</v>
      </c>
      <c r="B28" s="6" t="s">
        <v>41</v>
      </c>
    </row>
    <row r="29" spans="1:4" x14ac:dyDescent="0.3">
      <c r="A29" s="5" t="s">
        <v>42</v>
      </c>
      <c r="B29" s="6" t="s">
        <v>43</v>
      </c>
    </row>
    <row r="30" spans="1:4" x14ac:dyDescent="0.3">
      <c r="A30" s="5" t="s">
        <v>44</v>
      </c>
      <c r="B30" s="6" t="s">
        <v>45</v>
      </c>
    </row>
    <row r="31" spans="1:4" x14ac:dyDescent="0.3">
      <c r="A31" s="5" t="s">
        <v>46</v>
      </c>
      <c r="B31" s="6" t="s">
        <v>47</v>
      </c>
    </row>
    <row r="32" spans="1:4" x14ac:dyDescent="0.3">
      <c r="A32" s="5" t="s">
        <v>48</v>
      </c>
      <c r="B32" s="6" t="s">
        <v>49</v>
      </c>
    </row>
    <row r="34" spans="1:4" x14ac:dyDescent="0.3">
      <c r="A34" s="3" t="s">
        <v>50</v>
      </c>
      <c r="B34" s="4"/>
      <c r="C34" s="4"/>
      <c r="D34" s="4"/>
    </row>
    <row r="35" spans="1:4" ht="26.4" x14ac:dyDescent="0.3">
      <c r="A35" s="5" t="s">
        <v>51</v>
      </c>
      <c r="B35" s="6" t="s">
        <v>52</v>
      </c>
    </row>
    <row r="36" spans="1:4" ht="26.4" x14ac:dyDescent="0.3">
      <c r="A36" s="5" t="s">
        <v>53</v>
      </c>
      <c r="B36" s="6" t="s">
        <v>54</v>
      </c>
    </row>
    <row r="37" spans="1:4" ht="26.4" x14ac:dyDescent="0.3">
      <c r="A37" s="5" t="s">
        <v>55</v>
      </c>
      <c r="B37" s="6" t="s">
        <v>56</v>
      </c>
    </row>
    <row r="39" spans="1:4" x14ac:dyDescent="0.3">
      <c r="A39" s="3" t="s">
        <v>57</v>
      </c>
      <c r="B39" s="4"/>
      <c r="C39" s="4"/>
      <c r="D39" s="4"/>
    </row>
    <row r="40" spans="1:4" x14ac:dyDescent="0.3">
      <c r="A40" s="7" t="s">
        <v>58</v>
      </c>
      <c r="B40" s="9">
        <v>4.5</v>
      </c>
      <c r="C40" s="10" t="s">
        <v>59</v>
      </c>
      <c r="D40" s="2" t="s">
        <v>60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30" customWidth="1"/>
    <col min="3" max="3" width="12" customWidth="1"/>
    <col min="4" max="4" width="50" customWidth="1"/>
    <col min="5" max="5" width="14" customWidth="1"/>
    <col min="6" max="6" width="22" customWidth="1"/>
    <col min="7" max="7" width="32" customWidth="1"/>
    <col min="8" max="8" width="30" customWidth="1"/>
    <col min="9" max="9" width="24" customWidth="1"/>
    <col min="10" max="10" width="40" customWidth="1"/>
    <col min="11" max="11" width="14" customWidth="1"/>
  </cols>
  <sheetData>
    <row r="1" spans="1:11" ht="17.399999999999999" x14ac:dyDescent="0.3">
      <c r="A1" s="1" t="s">
        <v>61</v>
      </c>
    </row>
    <row r="2" spans="1:11" x14ac:dyDescent="0.3">
      <c r="A2" s="2" t="s">
        <v>62</v>
      </c>
    </row>
    <row r="3" spans="1:11" ht="39.6" x14ac:dyDescent="0.3">
      <c r="A3" s="11" t="s">
        <v>63</v>
      </c>
      <c r="B3" s="11" t="s">
        <v>64</v>
      </c>
      <c r="C3" s="11" t="s">
        <v>65</v>
      </c>
      <c r="D3" s="11" t="s">
        <v>66</v>
      </c>
      <c r="E3" s="11" t="s">
        <v>67</v>
      </c>
      <c r="F3" s="11" t="s">
        <v>68</v>
      </c>
      <c r="G3" s="11" t="s">
        <v>69</v>
      </c>
      <c r="H3" s="11" t="s">
        <v>70</v>
      </c>
      <c r="I3" s="11" t="s">
        <v>71</v>
      </c>
      <c r="J3" s="11" t="s">
        <v>72</v>
      </c>
      <c r="K3" s="12" t="s">
        <v>73</v>
      </c>
    </row>
    <row r="4" spans="1:11" ht="39.6" x14ac:dyDescent="0.3">
      <c r="A4" s="13" t="s">
        <v>74</v>
      </c>
      <c r="B4" s="14" t="s">
        <v>75</v>
      </c>
      <c r="C4" s="14" t="s">
        <v>76</v>
      </c>
      <c r="D4" s="14" t="s">
        <v>77</v>
      </c>
      <c r="E4" s="13" t="s">
        <v>78</v>
      </c>
      <c r="F4" s="14" t="s">
        <v>79</v>
      </c>
      <c r="G4" s="14" t="s">
        <v>80</v>
      </c>
      <c r="H4" s="14" t="s">
        <v>81</v>
      </c>
      <c r="I4" s="14" t="s">
        <v>82</v>
      </c>
      <c r="J4" s="14" t="s">
        <v>83</v>
      </c>
      <c r="K4" s="14">
        <f>COUNTIF(Mau_cau!$B$4:$B$300,A4)</f>
        <v>53</v>
      </c>
    </row>
    <row r="5" spans="1:11" ht="39.6" x14ac:dyDescent="0.3">
      <c r="A5" s="13" t="s">
        <v>84</v>
      </c>
      <c r="B5" s="14" t="s">
        <v>85</v>
      </c>
      <c r="C5" s="14" t="s">
        <v>76</v>
      </c>
      <c r="D5" s="14" t="s">
        <v>86</v>
      </c>
      <c r="E5" s="13" t="s">
        <v>78</v>
      </c>
      <c r="F5" s="14" t="s">
        <v>87</v>
      </c>
      <c r="G5" s="14" t="s">
        <v>88</v>
      </c>
      <c r="H5" s="14" t="s">
        <v>89</v>
      </c>
      <c r="I5" s="14" t="s">
        <v>90</v>
      </c>
      <c r="J5" s="14" t="s">
        <v>91</v>
      </c>
      <c r="K5" s="14">
        <f>COUNTIF(Mau_cau!$B$4:$B$300,A5)</f>
        <v>12</v>
      </c>
    </row>
    <row r="6" spans="1:11" ht="52.8" x14ac:dyDescent="0.3">
      <c r="A6" s="13" t="s">
        <v>55</v>
      </c>
      <c r="B6" s="14" t="s">
        <v>92</v>
      </c>
      <c r="C6" s="14" t="s">
        <v>93</v>
      </c>
      <c r="D6" s="14" t="s">
        <v>94</v>
      </c>
      <c r="E6" s="13" t="s">
        <v>78</v>
      </c>
      <c r="F6" s="14" t="s">
        <v>95</v>
      </c>
      <c r="G6" s="14" t="s">
        <v>96</v>
      </c>
      <c r="H6" s="14" t="s">
        <v>97</v>
      </c>
      <c r="I6" s="14" t="s">
        <v>98</v>
      </c>
      <c r="J6" s="14" t="s">
        <v>99</v>
      </c>
      <c r="K6" s="14">
        <f>COUNTIF(Mau_cau!$B$4:$B$300,A6)</f>
        <v>0</v>
      </c>
    </row>
    <row r="7" spans="1:11" ht="39.6" x14ac:dyDescent="0.3">
      <c r="A7" s="13" t="s">
        <v>100</v>
      </c>
      <c r="B7" s="14" t="s">
        <v>101</v>
      </c>
      <c r="C7" s="14" t="s">
        <v>93</v>
      </c>
      <c r="D7" s="14" t="s">
        <v>102</v>
      </c>
      <c r="E7" s="13" t="s">
        <v>95</v>
      </c>
      <c r="F7" s="14" t="s">
        <v>103</v>
      </c>
      <c r="G7" s="14" t="s">
        <v>104</v>
      </c>
      <c r="H7" s="14" t="s">
        <v>105</v>
      </c>
      <c r="I7" s="14" t="s">
        <v>106</v>
      </c>
      <c r="J7" s="14" t="s">
        <v>107</v>
      </c>
      <c r="K7" s="14">
        <f>COUNTIF(Mau_cau!$B$4:$B$300,A7)</f>
        <v>14</v>
      </c>
    </row>
    <row r="8" spans="1:11" ht="26.4" x14ac:dyDescent="0.3">
      <c r="A8" s="13" t="s">
        <v>108</v>
      </c>
      <c r="B8" s="14" t="s">
        <v>109</v>
      </c>
      <c r="C8" s="14" t="s">
        <v>110</v>
      </c>
      <c r="D8" s="14" t="s">
        <v>111</v>
      </c>
      <c r="E8" s="13" t="s">
        <v>95</v>
      </c>
      <c r="F8" s="14" t="s">
        <v>112</v>
      </c>
      <c r="G8" s="14" t="s">
        <v>113</v>
      </c>
      <c r="H8" s="14" t="s">
        <v>114</v>
      </c>
      <c r="I8" s="14" t="s">
        <v>115</v>
      </c>
      <c r="J8" s="14" t="s">
        <v>116</v>
      </c>
      <c r="K8" s="14">
        <f>COUNTIF(Mau_cau!$B$4:$B$300,A8)</f>
        <v>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7"/>
  <sheetViews>
    <sheetView showGridLines="0" zoomScaleNormal="100" workbookViewId="0">
      <pane ySplit="3" topLeftCell="A4" activePane="bottomLeft" state="frozen"/>
      <selection pane="bottomLeft"/>
    </sheetView>
  </sheetViews>
  <sheetFormatPr defaultColWidth="8.6640625" defaultRowHeight="14.4" x14ac:dyDescent="0.3"/>
  <cols>
    <col min="1" max="1" width="7" customWidth="1"/>
    <col min="2" max="2" width="24" customWidth="1"/>
    <col min="3" max="3" width="36" customWidth="1"/>
    <col min="4" max="4" width="10" customWidth="1"/>
    <col min="5" max="5" width="12" customWidth="1"/>
    <col min="6" max="6" width="42" customWidth="1"/>
    <col min="7" max="7" width="34" customWidth="1"/>
    <col min="8" max="8" width="46" customWidth="1"/>
    <col min="9" max="9" width="24" customWidth="1"/>
    <col min="10" max="10" width="18" customWidth="1"/>
    <col min="11" max="11" width="22" customWidth="1"/>
    <col min="12" max="13" width="10" customWidth="1"/>
    <col min="14" max="14" width="12" customWidth="1"/>
    <col min="15" max="15" width="14" customWidth="1"/>
  </cols>
  <sheetData>
    <row r="1" spans="1:15" ht="17.399999999999999" x14ac:dyDescent="0.3">
      <c r="A1" s="1" t="s">
        <v>117</v>
      </c>
    </row>
    <row r="2" spans="1:15" x14ac:dyDescent="0.3">
      <c r="A2" s="2" t="s">
        <v>118</v>
      </c>
    </row>
    <row r="3" spans="1:15" ht="26.4" x14ac:dyDescent="0.3">
      <c r="A3" s="11" t="s">
        <v>63</v>
      </c>
      <c r="B3" s="11" t="s">
        <v>119</v>
      </c>
      <c r="C3" s="11" t="s">
        <v>120</v>
      </c>
      <c r="D3" s="11" t="s">
        <v>121</v>
      </c>
      <c r="E3" s="11" t="s">
        <v>122</v>
      </c>
      <c r="F3" s="11" t="s">
        <v>123</v>
      </c>
      <c r="G3" s="11" t="s">
        <v>124</v>
      </c>
      <c r="H3" s="11" t="s">
        <v>125</v>
      </c>
      <c r="I3" s="11" t="s">
        <v>126</v>
      </c>
      <c r="J3" s="11" t="s">
        <v>127</v>
      </c>
      <c r="K3" s="11" t="s">
        <v>72</v>
      </c>
      <c r="L3" s="12" t="s">
        <v>128</v>
      </c>
      <c r="M3" s="12" t="s">
        <v>129</v>
      </c>
      <c r="N3" s="12" t="s">
        <v>130</v>
      </c>
      <c r="O3" s="12" t="s">
        <v>131</v>
      </c>
    </row>
    <row r="4" spans="1:15" ht="39.6" x14ac:dyDescent="0.3">
      <c r="A4" s="13" t="s">
        <v>132</v>
      </c>
      <c r="B4" s="14" t="s">
        <v>133</v>
      </c>
      <c r="C4" s="14" t="s">
        <v>134</v>
      </c>
      <c r="D4" s="13" t="s">
        <v>74</v>
      </c>
      <c r="E4" s="13" t="s">
        <v>78</v>
      </c>
      <c r="F4" s="14" t="s">
        <v>135</v>
      </c>
      <c r="G4" s="14" t="s">
        <v>136</v>
      </c>
      <c r="H4" s="14" t="s">
        <v>137</v>
      </c>
      <c r="I4" s="14" t="s">
        <v>138</v>
      </c>
      <c r="J4" s="14" t="s">
        <v>139</v>
      </c>
      <c r="K4" s="14"/>
      <c r="L4" s="14">
        <f>COUNTIFS(Mau_cau!$C$4:$C$300,A4,Mau_cau!$B$4:$B$300,"M1")</f>
        <v>8</v>
      </c>
      <c r="M4" s="14">
        <f>COUNTIFS(Mau_cau!$C$4:$C$300,A4,Mau_cau!$B$4:$B$300,"M2")</f>
        <v>0</v>
      </c>
      <c r="N4" s="15">
        <f>INDEX(Chi_tieu!$C$27:$C$38,MATCH(A4,Chi_tieu!$A$27:$A$38,0))</f>
        <v>0.15</v>
      </c>
      <c r="O4" s="16">
        <f>INDEX(Chi_tieu!$D$27:$D$38,MATCH(A4,Chi_tieu!$A$27:$A$38,0))</f>
        <v>1500</v>
      </c>
    </row>
    <row r="5" spans="1:15" ht="26.4" x14ac:dyDescent="0.3">
      <c r="A5" s="13" t="s">
        <v>140</v>
      </c>
      <c r="B5" s="14" t="s">
        <v>141</v>
      </c>
      <c r="C5" s="14" t="s">
        <v>142</v>
      </c>
      <c r="D5" s="13" t="s">
        <v>108</v>
      </c>
      <c r="E5" s="13" t="s">
        <v>143</v>
      </c>
      <c r="F5" s="14" t="s">
        <v>144</v>
      </c>
      <c r="G5" s="14" t="s">
        <v>145</v>
      </c>
      <c r="H5" s="14" t="s">
        <v>146</v>
      </c>
      <c r="I5" s="14" t="s">
        <v>147</v>
      </c>
      <c r="J5" s="14" t="s">
        <v>148</v>
      </c>
      <c r="K5" s="14" t="s">
        <v>149</v>
      </c>
      <c r="L5" s="14">
        <f>COUNTIFS(Mau_cau!$C$4:$C$300,A5,Mau_cau!$B$4:$B$300,"M1")</f>
        <v>2</v>
      </c>
      <c r="M5" s="14">
        <f>COUNTIFS(Mau_cau!$C$4:$C$300,A5,Mau_cau!$B$4:$B$300,"M2")</f>
        <v>0</v>
      </c>
      <c r="N5" s="15">
        <f>INDEX(Chi_tieu!$C$27:$C$38,MATCH(A5,Chi_tieu!$A$27:$A$38,0))</f>
        <v>0.03</v>
      </c>
      <c r="O5" s="16">
        <f>INDEX(Chi_tieu!$D$27:$D$38,MATCH(A5,Chi_tieu!$A$27:$A$38,0))</f>
        <v>300</v>
      </c>
    </row>
    <row r="6" spans="1:15" ht="26.4" x14ac:dyDescent="0.3">
      <c r="A6" s="13" t="s">
        <v>150</v>
      </c>
      <c r="B6" s="14" t="s">
        <v>151</v>
      </c>
      <c r="C6" s="14" t="s">
        <v>152</v>
      </c>
      <c r="D6" s="13" t="s">
        <v>74</v>
      </c>
      <c r="E6" s="13" t="s">
        <v>78</v>
      </c>
      <c r="F6" s="14" t="s">
        <v>153</v>
      </c>
      <c r="G6" s="14" t="s">
        <v>154</v>
      </c>
      <c r="H6" s="14" t="s">
        <v>155</v>
      </c>
      <c r="I6" s="14" t="s">
        <v>156</v>
      </c>
      <c r="J6" s="14" t="s">
        <v>157</v>
      </c>
      <c r="K6" s="14" t="s">
        <v>158</v>
      </c>
      <c r="L6" s="14">
        <f>COUNTIFS(Mau_cau!$C$4:$C$300,A6,Mau_cau!$B$4:$B$300,"M1")</f>
        <v>9</v>
      </c>
      <c r="M6" s="14">
        <f>COUNTIFS(Mau_cau!$C$4:$C$300,A6,Mau_cau!$B$4:$B$300,"M2")</f>
        <v>0</v>
      </c>
      <c r="N6" s="15">
        <f>INDEX(Chi_tieu!$C$27:$C$38,MATCH(A6,Chi_tieu!$A$27:$A$38,0))</f>
        <v>0.14000000000000001</v>
      </c>
      <c r="O6" s="16">
        <f>INDEX(Chi_tieu!$D$27:$D$38,MATCH(A6,Chi_tieu!$A$27:$A$38,0))</f>
        <v>1400</v>
      </c>
    </row>
    <row r="7" spans="1:15" ht="26.4" x14ac:dyDescent="0.3">
      <c r="A7" s="13" t="s">
        <v>159</v>
      </c>
      <c r="B7" s="14" t="s">
        <v>160</v>
      </c>
      <c r="C7" s="14" t="s">
        <v>161</v>
      </c>
      <c r="D7" s="13" t="s">
        <v>74</v>
      </c>
      <c r="E7" s="13" t="s">
        <v>78</v>
      </c>
      <c r="F7" s="14" t="s">
        <v>162</v>
      </c>
      <c r="G7" s="14" t="s">
        <v>163</v>
      </c>
      <c r="H7" s="14" t="s">
        <v>164</v>
      </c>
      <c r="I7" s="14" t="s">
        <v>165</v>
      </c>
      <c r="J7" s="14" t="s">
        <v>166</v>
      </c>
      <c r="K7" s="14"/>
      <c r="L7" s="14">
        <f>COUNTIFS(Mau_cau!$C$4:$C$300,A7,Mau_cau!$B$4:$B$300,"M1")</f>
        <v>5</v>
      </c>
      <c r="M7" s="14">
        <f>COUNTIFS(Mau_cau!$C$4:$C$300,A7,Mau_cau!$B$4:$B$300,"M2")</f>
        <v>0</v>
      </c>
      <c r="N7" s="15">
        <f>INDEX(Chi_tieu!$C$27:$C$38,MATCH(A7,Chi_tieu!$A$27:$A$38,0))</f>
        <v>0.12</v>
      </c>
      <c r="O7" s="16">
        <f>INDEX(Chi_tieu!$D$27:$D$38,MATCH(A7,Chi_tieu!$A$27:$A$38,0))</f>
        <v>1200</v>
      </c>
    </row>
    <row r="8" spans="1:15" ht="26.4" x14ac:dyDescent="0.3">
      <c r="A8" s="13" t="s">
        <v>167</v>
      </c>
      <c r="B8" s="14" t="s">
        <v>168</v>
      </c>
      <c r="C8" s="14" t="s">
        <v>169</v>
      </c>
      <c r="D8" s="13" t="s">
        <v>74</v>
      </c>
      <c r="E8" s="13" t="s">
        <v>78</v>
      </c>
      <c r="F8" s="14" t="s">
        <v>170</v>
      </c>
      <c r="G8" s="14" t="s">
        <v>171</v>
      </c>
      <c r="H8" s="14" t="s">
        <v>172</v>
      </c>
      <c r="I8" s="14" t="s">
        <v>173</v>
      </c>
      <c r="J8" s="14" t="s">
        <v>174</v>
      </c>
      <c r="K8" s="14"/>
      <c r="L8" s="14">
        <f>COUNTIFS(Mau_cau!$C$4:$C$300,A8,Mau_cau!$B$4:$B$300,"M1")</f>
        <v>6</v>
      </c>
      <c r="M8" s="14">
        <f>COUNTIFS(Mau_cau!$C$4:$C$300,A8,Mau_cau!$B$4:$B$300,"M2")</f>
        <v>0</v>
      </c>
      <c r="N8" s="15">
        <f>INDEX(Chi_tieu!$C$27:$C$38,MATCH(A8,Chi_tieu!$A$27:$A$38,0))</f>
        <v>0.12</v>
      </c>
      <c r="O8" s="16">
        <f>INDEX(Chi_tieu!$D$27:$D$38,MATCH(A8,Chi_tieu!$A$27:$A$38,0))</f>
        <v>1200</v>
      </c>
    </row>
    <row r="9" spans="1:15" ht="26.4" x14ac:dyDescent="0.3">
      <c r="A9" s="13" t="s">
        <v>175</v>
      </c>
      <c r="B9" s="14" t="s">
        <v>176</v>
      </c>
      <c r="C9" s="14" t="s">
        <v>177</v>
      </c>
      <c r="D9" s="13" t="s">
        <v>74</v>
      </c>
      <c r="E9" s="13" t="s">
        <v>178</v>
      </c>
      <c r="F9" s="14" t="s">
        <v>179</v>
      </c>
      <c r="G9" s="14" t="s">
        <v>180</v>
      </c>
      <c r="H9" s="14" t="s">
        <v>181</v>
      </c>
      <c r="I9" s="14" t="s">
        <v>182</v>
      </c>
      <c r="J9" s="14" t="s">
        <v>183</v>
      </c>
      <c r="K9" s="14"/>
      <c r="L9" s="14">
        <f>COUNTIFS(Mau_cau!$C$4:$C$300,A9,Mau_cau!$B$4:$B$300,"M1")</f>
        <v>3</v>
      </c>
      <c r="M9" s="14">
        <f>COUNTIFS(Mau_cau!$C$4:$C$300,A9,Mau_cau!$B$4:$B$300,"M2")</f>
        <v>0</v>
      </c>
      <c r="N9" s="15">
        <f>INDEX(Chi_tieu!$C$27:$C$38,MATCH(A9,Chi_tieu!$A$27:$A$38,0))</f>
        <v>0.05</v>
      </c>
      <c r="O9" s="16">
        <f>INDEX(Chi_tieu!$D$27:$D$38,MATCH(A9,Chi_tieu!$A$27:$A$38,0))</f>
        <v>500</v>
      </c>
    </row>
    <row r="10" spans="1:15" ht="26.4" x14ac:dyDescent="0.3">
      <c r="A10" s="13" t="s">
        <v>184</v>
      </c>
      <c r="B10" s="14" t="s">
        <v>185</v>
      </c>
      <c r="C10" s="14" t="s">
        <v>186</v>
      </c>
      <c r="D10" s="13" t="s">
        <v>74</v>
      </c>
      <c r="E10" s="13" t="s">
        <v>78</v>
      </c>
      <c r="F10" s="14" t="s">
        <v>187</v>
      </c>
      <c r="G10" s="14" t="s">
        <v>188</v>
      </c>
      <c r="H10" s="14" t="s">
        <v>189</v>
      </c>
      <c r="I10" s="14" t="s">
        <v>190</v>
      </c>
      <c r="J10" s="14" t="s">
        <v>191</v>
      </c>
      <c r="K10" s="14"/>
      <c r="L10" s="14">
        <f>COUNTIFS(Mau_cau!$C$4:$C$300,A10,Mau_cau!$B$4:$B$300,"M1")</f>
        <v>4</v>
      </c>
      <c r="M10" s="14">
        <f>COUNTIFS(Mau_cau!$C$4:$C$300,A10,Mau_cau!$B$4:$B$300,"M2")</f>
        <v>0</v>
      </c>
      <c r="N10" s="15">
        <f>INDEX(Chi_tieu!$C$27:$C$38,MATCH(A10,Chi_tieu!$A$27:$A$38,0))</f>
        <v>0.06</v>
      </c>
      <c r="O10" s="16">
        <f>INDEX(Chi_tieu!$D$27:$D$38,MATCH(A10,Chi_tieu!$A$27:$A$38,0))</f>
        <v>600</v>
      </c>
    </row>
    <row r="11" spans="1:15" ht="26.4" x14ac:dyDescent="0.3">
      <c r="A11" s="13" t="s">
        <v>192</v>
      </c>
      <c r="B11" s="14" t="s">
        <v>193</v>
      </c>
      <c r="C11" s="14" t="s">
        <v>194</v>
      </c>
      <c r="D11" s="13" t="s">
        <v>74</v>
      </c>
      <c r="E11" s="13" t="s">
        <v>78</v>
      </c>
      <c r="F11" s="14" t="s">
        <v>195</v>
      </c>
      <c r="G11" s="14" t="s">
        <v>196</v>
      </c>
      <c r="H11" s="14" t="s">
        <v>197</v>
      </c>
      <c r="I11" s="14" t="s">
        <v>198</v>
      </c>
      <c r="J11" s="14" t="s">
        <v>199</v>
      </c>
      <c r="K11" s="14"/>
      <c r="L11" s="14">
        <f>COUNTIFS(Mau_cau!$C$4:$C$300,A11,Mau_cau!$B$4:$B$300,"M1")</f>
        <v>4</v>
      </c>
      <c r="M11" s="14">
        <f>COUNTIFS(Mau_cau!$C$4:$C$300,A11,Mau_cau!$B$4:$B$300,"M2")</f>
        <v>0</v>
      </c>
      <c r="N11" s="15">
        <f>INDEX(Chi_tieu!$C$27:$C$38,MATCH(A11,Chi_tieu!$A$27:$A$38,0))</f>
        <v>7.0000000000000007E-2</v>
      </c>
      <c r="O11" s="16">
        <f>INDEX(Chi_tieu!$D$27:$D$38,MATCH(A11,Chi_tieu!$A$27:$A$38,0))</f>
        <v>700</v>
      </c>
    </row>
    <row r="12" spans="1:15" ht="39.6" x14ac:dyDescent="0.3">
      <c r="A12" s="13" t="s">
        <v>200</v>
      </c>
      <c r="B12" s="14" t="s">
        <v>201</v>
      </c>
      <c r="C12" s="14" t="s">
        <v>202</v>
      </c>
      <c r="D12" s="13" t="s">
        <v>74</v>
      </c>
      <c r="E12" s="13" t="s">
        <v>178</v>
      </c>
      <c r="F12" s="14" t="s">
        <v>203</v>
      </c>
      <c r="G12" s="14" t="s">
        <v>204</v>
      </c>
      <c r="H12" s="14" t="s">
        <v>205</v>
      </c>
      <c r="I12" s="14" t="s">
        <v>206</v>
      </c>
      <c r="J12" s="14" t="s">
        <v>207</v>
      </c>
      <c r="K12" s="14" t="s">
        <v>208</v>
      </c>
      <c r="L12" s="14">
        <f>COUNTIFS(Mau_cau!$C$4:$C$300,A12,Mau_cau!$B$4:$B$300,"M1")</f>
        <v>4</v>
      </c>
      <c r="M12" s="14">
        <f>COUNTIFS(Mau_cau!$C$4:$C$300,A12,Mau_cau!$B$4:$B$300,"M2")</f>
        <v>0</v>
      </c>
      <c r="N12" s="15">
        <f>INDEX(Chi_tieu!$C$27:$C$38,MATCH(A12,Chi_tieu!$A$27:$A$38,0))</f>
        <v>0.03</v>
      </c>
      <c r="O12" s="16">
        <f>INDEX(Chi_tieu!$D$27:$D$38,MATCH(A12,Chi_tieu!$A$27:$A$38,0))</f>
        <v>300</v>
      </c>
    </row>
    <row r="13" spans="1:15" ht="26.4" x14ac:dyDescent="0.3">
      <c r="A13" s="13" t="s">
        <v>209</v>
      </c>
      <c r="B13" s="14" t="s">
        <v>210</v>
      </c>
      <c r="C13" s="14" t="s">
        <v>211</v>
      </c>
      <c r="D13" s="13" t="s">
        <v>74</v>
      </c>
      <c r="E13" s="13" t="s">
        <v>78</v>
      </c>
      <c r="F13" s="14" t="s">
        <v>212</v>
      </c>
      <c r="G13" s="14" t="s">
        <v>213</v>
      </c>
      <c r="H13" s="14" t="s">
        <v>214</v>
      </c>
      <c r="I13" s="14" t="s">
        <v>215</v>
      </c>
      <c r="J13" s="14" t="s">
        <v>216</v>
      </c>
      <c r="K13" s="14"/>
      <c r="L13" s="14">
        <f>COUNTIFS(Mau_cau!$C$4:$C$300,A13,Mau_cau!$B$4:$B$300,"M1")</f>
        <v>5</v>
      </c>
      <c r="M13" s="14">
        <f>COUNTIFS(Mau_cau!$C$4:$C$300,A13,Mau_cau!$B$4:$B$300,"M2")</f>
        <v>0</v>
      </c>
      <c r="N13" s="15">
        <f>INDEX(Chi_tieu!$C$27:$C$38,MATCH(A13,Chi_tieu!$A$27:$A$38,0))</f>
        <v>0.11</v>
      </c>
      <c r="O13" s="16">
        <f>INDEX(Chi_tieu!$D$27:$D$38,MATCH(A13,Chi_tieu!$A$27:$A$38,0))</f>
        <v>1100</v>
      </c>
    </row>
    <row r="14" spans="1:15" ht="39.6" x14ac:dyDescent="0.3">
      <c r="A14" s="13" t="s">
        <v>217</v>
      </c>
      <c r="B14" s="14" t="s">
        <v>218</v>
      </c>
      <c r="C14" s="14" t="s">
        <v>219</v>
      </c>
      <c r="D14" s="13" t="s">
        <v>74</v>
      </c>
      <c r="E14" s="13" t="s">
        <v>178</v>
      </c>
      <c r="F14" s="14" t="s">
        <v>220</v>
      </c>
      <c r="G14" s="14" t="s">
        <v>221</v>
      </c>
      <c r="H14" s="14" t="s">
        <v>222</v>
      </c>
      <c r="I14" s="14" t="s">
        <v>223</v>
      </c>
      <c r="J14" s="14" t="s">
        <v>224</v>
      </c>
      <c r="K14" s="14" t="s">
        <v>225</v>
      </c>
      <c r="L14" s="14">
        <f>COUNTIFS(Mau_cau!$C$4:$C$300,A14,Mau_cau!$B$4:$B$300,"M1")</f>
        <v>3</v>
      </c>
      <c r="M14" s="14">
        <f>COUNTIFS(Mau_cau!$C$4:$C$300,A14,Mau_cau!$B$4:$B$300,"M2")</f>
        <v>0</v>
      </c>
      <c r="N14" s="15">
        <f>INDEX(Chi_tieu!$C$27:$C$38,MATCH(A14,Chi_tieu!$A$27:$A$38,0))</f>
        <v>0.03</v>
      </c>
      <c r="O14" s="16">
        <f>INDEX(Chi_tieu!$D$27:$D$38,MATCH(A14,Chi_tieu!$A$27:$A$38,0))</f>
        <v>300</v>
      </c>
    </row>
    <row r="15" spans="1:15" ht="26.4" x14ac:dyDescent="0.3">
      <c r="A15" s="13" t="s">
        <v>226</v>
      </c>
      <c r="B15" s="14" t="s">
        <v>227</v>
      </c>
      <c r="C15" s="14" t="s">
        <v>228</v>
      </c>
      <c r="D15" s="13" t="s">
        <v>84</v>
      </c>
      <c r="E15" s="13" t="s">
        <v>78</v>
      </c>
      <c r="F15" s="14" t="s">
        <v>229</v>
      </c>
      <c r="G15" s="14" t="s">
        <v>230</v>
      </c>
      <c r="H15" s="14" t="s">
        <v>231</v>
      </c>
      <c r="I15" s="14" t="s">
        <v>232</v>
      </c>
      <c r="J15" s="14" t="s">
        <v>233</v>
      </c>
      <c r="K15" s="14" t="s">
        <v>234</v>
      </c>
      <c r="L15" s="14">
        <f>COUNTIFS(Mau_cau!$C$4:$C$300,A15,Mau_cau!$B$4:$B$300,"M1")</f>
        <v>0</v>
      </c>
      <c r="M15" s="14">
        <f>COUNTIFS(Mau_cau!$C$4:$C$300,A15,Mau_cau!$B$4:$B$300,"M2")</f>
        <v>12</v>
      </c>
      <c r="N15" s="15">
        <f>INDEX(Chi_tieu!$C$27:$C$38,MATCH(A15,Chi_tieu!$A$27:$A$38,0))</f>
        <v>0.09</v>
      </c>
      <c r="O15" s="16">
        <f>INDEX(Chi_tieu!$D$27:$D$38,MATCH(A15,Chi_tieu!$A$27:$A$38,0))</f>
        <v>900</v>
      </c>
    </row>
    <row r="17" spans="1:1" x14ac:dyDescent="0.3">
      <c r="A17" s="2" t="s">
        <v>235</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error="Chọn giá trị trong danh sách (sheet Tu_vung)." xr:uid="{00000000-0002-0000-0200-000000000000}">
          <x14:formula1>
            <xm:f>Tu_vung!$A$2:$A$6</xm:f>
          </x14:formula1>
          <x14:formula2>
            <xm:f>0</xm:f>
          </x14:formula2>
          <xm:sqref>D4:D15</xm:sqref>
        </x14:dataValidation>
        <x14:dataValidation type="list" allowBlank="1" error="Chọn giá trị trong danh sách (sheet Tu_vung)." xr:uid="{00000000-0002-0000-0200-000001000000}">
          <x14:formula1>
            <xm:f>Tu_vung!$H$2:$H$4</xm:f>
          </x14:formula1>
          <x14:formula2>
            <xm:f>0</xm:f>
          </x14:formula2>
          <xm:sqref>E4:E15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4"/>
  <sheetViews>
    <sheetView showGridLines="0" zoomScaleNormal="100" workbookViewId="0">
      <pane ySplit="3" topLeftCell="A4" activePane="bottomLeft" state="frozen"/>
      <selection pane="bottomLeft"/>
    </sheetView>
  </sheetViews>
  <sheetFormatPr defaultColWidth="8.6640625" defaultRowHeight="14.4" x14ac:dyDescent="0.3"/>
  <cols>
    <col min="1" max="1" width="22" customWidth="1"/>
    <col min="2" max="2" width="20" customWidth="1"/>
    <col min="3" max="3" width="7" customWidth="1"/>
    <col min="4" max="4" width="30" customWidth="1"/>
    <col min="5" max="6" width="12" customWidth="1"/>
    <col min="7" max="7" width="30" customWidth="1"/>
    <col min="8" max="8" width="26" customWidth="1"/>
    <col min="9" max="9" width="52" customWidth="1"/>
    <col min="10" max="10" width="46" customWidth="1"/>
    <col min="11" max="11" width="40" customWidth="1"/>
    <col min="12" max="12" width="30" customWidth="1"/>
    <col min="13" max="13" width="10" customWidth="1"/>
    <col min="14" max="14" width="28" customWidth="1"/>
    <col min="15" max="15" width="14" customWidth="1"/>
  </cols>
  <sheetData>
    <row r="1" spans="1:15" ht="17.399999999999999" x14ac:dyDescent="0.3">
      <c r="A1" s="1" t="s">
        <v>236</v>
      </c>
    </row>
    <row r="2" spans="1:15" x14ac:dyDescent="0.3">
      <c r="A2" s="2" t="s">
        <v>237</v>
      </c>
    </row>
    <row r="3" spans="1:15" ht="26.4" x14ac:dyDescent="0.3">
      <c r="A3" s="11" t="s">
        <v>238</v>
      </c>
      <c r="B3" s="11" t="s">
        <v>239</v>
      </c>
      <c r="C3" s="11" t="s">
        <v>63</v>
      </c>
      <c r="D3" s="11" t="s">
        <v>240</v>
      </c>
      <c r="E3" s="11" t="s">
        <v>241</v>
      </c>
      <c r="F3" s="11" t="s">
        <v>242</v>
      </c>
      <c r="G3" s="11" t="s">
        <v>243</v>
      </c>
      <c r="H3" s="11" t="s">
        <v>244</v>
      </c>
      <c r="I3" s="11" t="s">
        <v>245</v>
      </c>
      <c r="J3" s="11" t="s">
        <v>246</v>
      </c>
      <c r="K3" s="11" t="s">
        <v>247</v>
      </c>
      <c r="L3" s="11" t="s">
        <v>248</v>
      </c>
      <c r="M3" s="11" t="s">
        <v>249</v>
      </c>
      <c r="N3" s="11" t="s">
        <v>250</v>
      </c>
      <c r="O3" s="12" t="s">
        <v>251</v>
      </c>
    </row>
    <row r="4" spans="1:15" ht="132" x14ac:dyDescent="0.3">
      <c r="A4" s="14" t="s">
        <v>252</v>
      </c>
      <c r="B4" s="14" t="s">
        <v>253</v>
      </c>
      <c r="C4" s="13" t="s">
        <v>254</v>
      </c>
      <c r="D4" s="14" t="s">
        <v>255</v>
      </c>
      <c r="E4" s="14" t="s">
        <v>256</v>
      </c>
      <c r="F4" s="14" t="s">
        <v>257</v>
      </c>
      <c r="G4" s="14" t="s">
        <v>258</v>
      </c>
      <c r="H4" s="14"/>
      <c r="I4" s="14" t="s">
        <v>259</v>
      </c>
      <c r="J4" s="14" t="s">
        <v>260</v>
      </c>
      <c r="K4" s="14" t="s">
        <v>261</v>
      </c>
      <c r="L4" s="14" t="s">
        <v>262</v>
      </c>
      <c r="M4" s="13" t="s">
        <v>263</v>
      </c>
      <c r="N4" s="14" t="s">
        <v>264</v>
      </c>
      <c r="O4" s="14" t="s">
        <v>265</v>
      </c>
    </row>
    <row r="5" spans="1:15" ht="79.2" x14ac:dyDescent="0.3">
      <c r="A5" s="14" t="s">
        <v>252</v>
      </c>
      <c r="B5" s="14" t="s">
        <v>253</v>
      </c>
      <c r="C5" s="13" t="s">
        <v>266</v>
      </c>
      <c r="D5" s="14" t="s">
        <v>267</v>
      </c>
      <c r="E5" s="14" t="s">
        <v>268</v>
      </c>
      <c r="F5" s="14" t="s">
        <v>257</v>
      </c>
      <c r="G5" s="14" t="s">
        <v>258</v>
      </c>
      <c r="H5" s="14"/>
      <c r="I5" s="14" t="s">
        <v>259</v>
      </c>
      <c r="J5" s="14" t="s">
        <v>260</v>
      </c>
      <c r="K5" s="14" t="s">
        <v>269</v>
      </c>
      <c r="L5" s="14" t="s">
        <v>270</v>
      </c>
      <c r="M5" s="13" t="s">
        <v>263</v>
      </c>
      <c r="N5" s="14" t="s">
        <v>264</v>
      </c>
      <c r="O5" s="14" t="s">
        <v>265</v>
      </c>
    </row>
    <row r="6" spans="1:15" ht="92.4" x14ac:dyDescent="0.3">
      <c r="A6" s="14" t="s">
        <v>252</v>
      </c>
      <c r="B6" s="14" t="s">
        <v>253</v>
      </c>
      <c r="C6" s="13" t="s">
        <v>271</v>
      </c>
      <c r="D6" s="14" t="s">
        <v>272</v>
      </c>
      <c r="E6" s="14" t="s">
        <v>273</v>
      </c>
      <c r="F6" s="14" t="s">
        <v>257</v>
      </c>
      <c r="G6" s="14" t="s">
        <v>258</v>
      </c>
      <c r="H6" s="14"/>
      <c r="I6" s="14" t="s">
        <v>259</v>
      </c>
      <c r="J6" s="14" t="s">
        <v>260</v>
      </c>
      <c r="K6" s="14" t="s">
        <v>274</v>
      </c>
      <c r="L6" s="14" t="s">
        <v>275</v>
      </c>
      <c r="M6" s="13" t="s">
        <v>276</v>
      </c>
      <c r="N6" s="14" t="s">
        <v>264</v>
      </c>
      <c r="O6" s="14" t="s">
        <v>265</v>
      </c>
    </row>
    <row r="7" spans="1:15" ht="92.4" x14ac:dyDescent="0.3">
      <c r="A7" s="14" t="s">
        <v>252</v>
      </c>
      <c r="B7" s="14" t="s">
        <v>253</v>
      </c>
      <c r="C7" s="13" t="s">
        <v>277</v>
      </c>
      <c r="D7" s="14" t="s">
        <v>278</v>
      </c>
      <c r="E7" s="14" t="s">
        <v>279</v>
      </c>
      <c r="F7" s="14" t="s">
        <v>257</v>
      </c>
      <c r="G7" s="14" t="s">
        <v>258</v>
      </c>
      <c r="H7" s="14"/>
      <c r="I7" s="14" t="s">
        <v>259</v>
      </c>
      <c r="J7" s="14" t="s">
        <v>260</v>
      </c>
      <c r="K7" s="14" t="s">
        <v>280</v>
      </c>
      <c r="L7" s="14" t="s">
        <v>281</v>
      </c>
      <c r="M7" s="13" t="s">
        <v>276</v>
      </c>
      <c r="N7" s="14" t="s">
        <v>264</v>
      </c>
      <c r="O7" s="14" t="s">
        <v>265</v>
      </c>
    </row>
    <row r="8" spans="1:15" ht="79.2" x14ac:dyDescent="0.3">
      <c r="A8" s="14" t="s">
        <v>252</v>
      </c>
      <c r="B8" s="14" t="s">
        <v>253</v>
      </c>
      <c r="C8" s="13" t="s">
        <v>282</v>
      </c>
      <c r="D8" s="14" t="s">
        <v>283</v>
      </c>
      <c r="E8" s="14" t="s">
        <v>284</v>
      </c>
      <c r="F8" s="14" t="s">
        <v>257</v>
      </c>
      <c r="G8" s="14" t="s">
        <v>258</v>
      </c>
      <c r="H8" s="14"/>
      <c r="I8" s="14" t="s">
        <v>259</v>
      </c>
      <c r="J8" s="14" t="s">
        <v>260</v>
      </c>
      <c r="K8" s="14" t="s">
        <v>285</v>
      </c>
      <c r="L8" s="14" t="s">
        <v>286</v>
      </c>
      <c r="M8" s="13" t="s">
        <v>287</v>
      </c>
      <c r="N8" s="14" t="s">
        <v>264</v>
      </c>
      <c r="O8" s="14" t="s">
        <v>265</v>
      </c>
    </row>
    <row r="9" spans="1:15" ht="79.2" x14ac:dyDescent="0.3">
      <c r="A9" s="14" t="s">
        <v>252</v>
      </c>
      <c r="B9" s="14" t="s">
        <v>288</v>
      </c>
      <c r="C9" s="13" t="s">
        <v>289</v>
      </c>
      <c r="D9" s="14" t="s">
        <v>290</v>
      </c>
      <c r="E9" s="14" t="s">
        <v>291</v>
      </c>
      <c r="F9" s="14" t="s">
        <v>257</v>
      </c>
      <c r="G9" s="14" t="s">
        <v>258</v>
      </c>
      <c r="H9" s="14"/>
      <c r="I9" s="14" t="s">
        <v>259</v>
      </c>
      <c r="J9" s="14" t="s">
        <v>260</v>
      </c>
      <c r="K9" s="14" t="s">
        <v>292</v>
      </c>
      <c r="L9" s="14" t="s">
        <v>293</v>
      </c>
      <c r="M9" s="13" t="s">
        <v>276</v>
      </c>
      <c r="N9" s="14" t="s">
        <v>264</v>
      </c>
      <c r="O9" s="14" t="s">
        <v>265</v>
      </c>
    </row>
    <row r="10" spans="1:15" ht="79.2" x14ac:dyDescent="0.3">
      <c r="A10" s="14" t="s">
        <v>252</v>
      </c>
      <c r="B10" s="14" t="s">
        <v>288</v>
      </c>
      <c r="C10" s="13" t="s">
        <v>294</v>
      </c>
      <c r="D10" s="14" t="s">
        <v>295</v>
      </c>
      <c r="E10" s="14" t="s">
        <v>296</v>
      </c>
      <c r="F10" s="14" t="s">
        <v>257</v>
      </c>
      <c r="G10" s="14" t="s">
        <v>258</v>
      </c>
      <c r="H10" s="14"/>
      <c r="I10" s="14" t="s">
        <v>259</v>
      </c>
      <c r="J10" s="14" t="s">
        <v>260</v>
      </c>
      <c r="K10" s="14" t="s">
        <v>297</v>
      </c>
      <c r="L10" s="14" t="s">
        <v>298</v>
      </c>
      <c r="M10" s="13" t="s">
        <v>263</v>
      </c>
      <c r="N10" s="14" t="s">
        <v>264</v>
      </c>
      <c r="O10" s="14" t="s">
        <v>265</v>
      </c>
    </row>
    <row r="11" spans="1:15" ht="79.2" x14ac:dyDescent="0.3">
      <c r="A11" s="14" t="s">
        <v>252</v>
      </c>
      <c r="B11" s="14" t="s">
        <v>288</v>
      </c>
      <c r="C11" s="13" t="s">
        <v>299</v>
      </c>
      <c r="D11" s="14" t="s">
        <v>300</v>
      </c>
      <c r="E11" s="14" t="s">
        <v>301</v>
      </c>
      <c r="F11" s="14" t="s">
        <v>257</v>
      </c>
      <c r="G11" s="14" t="s">
        <v>258</v>
      </c>
      <c r="H11" s="14"/>
      <c r="I11" s="14" t="s">
        <v>259</v>
      </c>
      <c r="J11" s="14" t="s">
        <v>260</v>
      </c>
      <c r="K11" s="14" t="s">
        <v>302</v>
      </c>
      <c r="L11" s="14" t="s">
        <v>303</v>
      </c>
      <c r="M11" s="13" t="s">
        <v>276</v>
      </c>
      <c r="N11" s="14" t="s">
        <v>264</v>
      </c>
      <c r="O11" s="14" t="s">
        <v>265</v>
      </c>
    </row>
    <row r="12" spans="1:15" ht="92.4" x14ac:dyDescent="0.3">
      <c r="A12" s="14" t="s">
        <v>252</v>
      </c>
      <c r="B12" s="14" t="s">
        <v>304</v>
      </c>
      <c r="C12" s="13" t="s">
        <v>305</v>
      </c>
      <c r="D12" s="14" t="s">
        <v>306</v>
      </c>
      <c r="E12" s="14" t="s">
        <v>307</v>
      </c>
      <c r="F12" s="14" t="s">
        <v>257</v>
      </c>
      <c r="G12" s="14" t="s">
        <v>258</v>
      </c>
      <c r="H12" s="14"/>
      <c r="I12" s="14" t="s">
        <v>259</v>
      </c>
      <c r="J12" s="14" t="s">
        <v>260</v>
      </c>
      <c r="K12" s="14" t="s">
        <v>308</v>
      </c>
      <c r="L12" s="14" t="s">
        <v>309</v>
      </c>
      <c r="M12" s="13" t="s">
        <v>263</v>
      </c>
      <c r="N12" s="14" t="s">
        <v>264</v>
      </c>
      <c r="O12" s="14" t="s">
        <v>265</v>
      </c>
    </row>
    <row r="13" spans="1:15" ht="79.2" x14ac:dyDescent="0.3">
      <c r="A13" s="14" t="s">
        <v>252</v>
      </c>
      <c r="B13" s="14" t="s">
        <v>304</v>
      </c>
      <c r="C13" s="13" t="s">
        <v>310</v>
      </c>
      <c r="D13" s="14" t="s">
        <v>311</v>
      </c>
      <c r="E13" s="14" t="s">
        <v>312</v>
      </c>
      <c r="F13" s="14" t="s">
        <v>257</v>
      </c>
      <c r="G13" s="14" t="s">
        <v>258</v>
      </c>
      <c r="H13" s="14"/>
      <c r="I13" s="14" t="s">
        <v>259</v>
      </c>
      <c r="J13" s="14" t="s">
        <v>260</v>
      </c>
      <c r="K13" s="14" t="s">
        <v>313</v>
      </c>
      <c r="L13" s="14" t="s">
        <v>314</v>
      </c>
      <c r="M13" s="13" t="s">
        <v>263</v>
      </c>
      <c r="N13" s="14" t="s">
        <v>264</v>
      </c>
      <c r="O13" s="14" t="s">
        <v>265</v>
      </c>
    </row>
    <row r="14" spans="1:15" ht="92.4" x14ac:dyDescent="0.3">
      <c r="A14" s="14" t="s">
        <v>252</v>
      </c>
      <c r="B14" s="14" t="s">
        <v>304</v>
      </c>
      <c r="C14" s="13" t="s">
        <v>315</v>
      </c>
      <c r="D14" s="14" t="s">
        <v>316</v>
      </c>
      <c r="E14" s="14" t="s">
        <v>317</v>
      </c>
      <c r="F14" s="14" t="s">
        <v>257</v>
      </c>
      <c r="G14" s="14" t="s">
        <v>258</v>
      </c>
      <c r="H14" s="14"/>
      <c r="I14" s="14" t="s">
        <v>259</v>
      </c>
      <c r="J14" s="14" t="s">
        <v>318</v>
      </c>
      <c r="K14" s="14" t="s">
        <v>319</v>
      </c>
      <c r="L14" s="14" t="s">
        <v>320</v>
      </c>
      <c r="M14" s="13" t="s">
        <v>263</v>
      </c>
      <c r="N14" s="14" t="s">
        <v>321</v>
      </c>
      <c r="O14" s="14" t="s">
        <v>265</v>
      </c>
    </row>
    <row r="15" spans="1:15" ht="92.4" x14ac:dyDescent="0.3">
      <c r="A15" s="14" t="s">
        <v>252</v>
      </c>
      <c r="B15" s="14" t="s">
        <v>304</v>
      </c>
      <c r="C15" s="13" t="s">
        <v>322</v>
      </c>
      <c r="D15" s="14" t="s">
        <v>323</v>
      </c>
      <c r="E15" s="14" t="s">
        <v>324</v>
      </c>
      <c r="F15" s="14" t="s">
        <v>325</v>
      </c>
      <c r="G15" s="14" t="s">
        <v>258</v>
      </c>
      <c r="H15" s="14" t="s">
        <v>326</v>
      </c>
      <c r="I15" s="14" t="s">
        <v>327</v>
      </c>
      <c r="J15" s="14" t="s">
        <v>318</v>
      </c>
      <c r="K15" s="14" t="s">
        <v>328</v>
      </c>
      <c r="L15" s="14" t="s">
        <v>329</v>
      </c>
      <c r="M15" s="13" t="s">
        <v>263</v>
      </c>
      <c r="N15" s="14" t="s">
        <v>330</v>
      </c>
      <c r="O15" s="14" t="s">
        <v>265</v>
      </c>
    </row>
    <row r="16" spans="1:15" ht="92.4" x14ac:dyDescent="0.3">
      <c r="A16" s="14" t="s">
        <v>252</v>
      </c>
      <c r="B16" s="14" t="s">
        <v>331</v>
      </c>
      <c r="C16" s="13" t="s">
        <v>332</v>
      </c>
      <c r="D16" s="14" t="s">
        <v>333</v>
      </c>
      <c r="E16" s="14" t="s">
        <v>334</v>
      </c>
      <c r="F16" s="14" t="s">
        <v>257</v>
      </c>
      <c r="G16" s="14" t="s">
        <v>258</v>
      </c>
      <c r="H16" s="14" t="s">
        <v>335</v>
      </c>
      <c r="I16" s="14" t="s">
        <v>259</v>
      </c>
      <c r="J16" s="14" t="s">
        <v>260</v>
      </c>
      <c r="K16" s="14" t="s">
        <v>336</v>
      </c>
      <c r="L16" s="14" t="s">
        <v>337</v>
      </c>
      <c r="M16" s="13" t="s">
        <v>263</v>
      </c>
      <c r="N16" s="14" t="s">
        <v>264</v>
      </c>
      <c r="O16" s="14" t="s">
        <v>265</v>
      </c>
    </row>
    <row r="17" spans="1:15" ht="79.2" x14ac:dyDescent="0.3">
      <c r="A17" s="14" t="s">
        <v>252</v>
      </c>
      <c r="B17" s="14" t="s">
        <v>331</v>
      </c>
      <c r="C17" s="13" t="s">
        <v>338</v>
      </c>
      <c r="D17" s="14" t="s">
        <v>339</v>
      </c>
      <c r="E17" s="14" t="s">
        <v>340</v>
      </c>
      <c r="F17" s="14" t="s">
        <v>257</v>
      </c>
      <c r="G17" s="14" t="s">
        <v>258</v>
      </c>
      <c r="H17" s="14"/>
      <c r="I17" s="14" t="s">
        <v>259</v>
      </c>
      <c r="J17" s="14" t="s">
        <v>260</v>
      </c>
      <c r="K17" s="14" t="s">
        <v>341</v>
      </c>
      <c r="L17" s="14" t="s">
        <v>342</v>
      </c>
      <c r="M17" s="13" t="s">
        <v>263</v>
      </c>
      <c r="N17" s="14" t="s">
        <v>330</v>
      </c>
      <c r="O17" s="14" t="s">
        <v>265</v>
      </c>
    </row>
    <row r="18" spans="1:15" ht="92.4" x14ac:dyDescent="0.3">
      <c r="A18" s="14" t="s">
        <v>343</v>
      </c>
      <c r="B18" s="14" t="s">
        <v>344</v>
      </c>
      <c r="C18" s="13" t="s">
        <v>345</v>
      </c>
      <c r="D18" s="14" t="s">
        <v>346</v>
      </c>
      <c r="E18" s="14" t="s">
        <v>347</v>
      </c>
      <c r="F18" s="14" t="s">
        <v>257</v>
      </c>
      <c r="G18" s="14" t="s">
        <v>258</v>
      </c>
      <c r="H18" s="14"/>
      <c r="I18" s="14" t="s">
        <v>259</v>
      </c>
      <c r="J18" s="14" t="s">
        <v>260</v>
      </c>
      <c r="K18" s="14" t="s">
        <v>348</v>
      </c>
      <c r="L18" s="14" t="s">
        <v>349</v>
      </c>
      <c r="M18" s="13" t="s">
        <v>276</v>
      </c>
      <c r="N18" s="14" t="s">
        <v>321</v>
      </c>
      <c r="O18" s="14" t="s">
        <v>265</v>
      </c>
    </row>
    <row r="19" spans="1:15" ht="79.2" x14ac:dyDescent="0.3">
      <c r="A19" s="14" t="s">
        <v>343</v>
      </c>
      <c r="B19" s="14" t="s">
        <v>344</v>
      </c>
      <c r="C19" s="13" t="s">
        <v>350</v>
      </c>
      <c r="D19" s="14" t="s">
        <v>351</v>
      </c>
      <c r="E19" s="14" t="s">
        <v>352</v>
      </c>
      <c r="F19" s="14" t="s">
        <v>353</v>
      </c>
      <c r="G19" s="14" t="s">
        <v>354</v>
      </c>
      <c r="H19" s="14"/>
      <c r="I19" s="14" t="s">
        <v>355</v>
      </c>
      <c r="J19" s="14" t="s">
        <v>318</v>
      </c>
      <c r="K19" s="14" t="s">
        <v>356</v>
      </c>
      <c r="L19" s="14" t="s">
        <v>357</v>
      </c>
      <c r="M19" s="13" t="s">
        <v>276</v>
      </c>
      <c r="N19" s="14" t="s">
        <v>321</v>
      </c>
      <c r="O19" s="14" t="s">
        <v>265</v>
      </c>
    </row>
    <row r="20" spans="1:15" ht="105.6" x14ac:dyDescent="0.3">
      <c r="A20" s="14" t="s">
        <v>343</v>
      </c>
      <c r="B20" s="14" t="s">
        <v>344</v>
      </c>
      <c r="C20" s="13" t="s">
        <v>358</v>
      </c>
      <c r="D20" s="14" t="s">
        <v>359</v>
      </c>
      <c r="E20" s="14" t="s">
        <v>360</v>
      </c>
      <c r="F20" s="14" t="s">
        <v>257</v>
      </c>
      <c r="G20" s="14" t="s">
        <v>335</v>
      </c>
      <c r="H20" s="14" t="s">
        <v>258</v>
      </c>
      <c r="I20" s="14" t="s">
        <v>361</v>
      </c>
      <c r="J20" s="14" t="s">
        <v>318</v>
      </c>
      <c r="K20" s="14" t="s">
        <v>362</v>
      </c>
      <c r="L20" s="14" t="s">
        <v>363</v>
      </c>
      <c r="M20" s="13" t="s">
        <v>263</v>
      </c>
      <c r="N20" s="14" t="s">
        <v>321</v>
      </c>
      <c r="O20" s="14" t="s">
        <v>265</v>
      </c>
    </row>
    <row r="21" spans="1:15" ht="79.2" x14ac:dyDescent="0.3">
      <c r="A21" s="14" t="s">
        <v>343</v>
      </c>
      <c r="B21" s="14" t="s">
        <v>364</v>
      </c>
      <c r="C21" s="13" t="s">
        <v>365</v>
      </c>
      <c r="D21" s="14" t="s">
        <v>366</v>
      </c>
      <c r="E21" s="14" t="s">
        <v>367</v>
      </c>
      <c r="F21" s="14" t="s">
        <v>353</v>
      </c>
      <c r="G21" s="14" t="s">
        <v>354</v>
      </c>
      <c r="H21" s="14"/>
      <c r="I21" s="14" t="s">
        <v>355</v>
      </c>
      <c r="J21" s="14" t="s">
        <v>318</v>
      </c>
      <c r="K21" s="14" t="s">
        <v>368</v>
      </c>
      <c r="L21" s="14" t="s">
        <v>369</v>
      </c>
      <c r="M21" s="13" t="s">
        <v>276</v>
      </c>
      <c r="N21" s="14" t="s">
        <v>321</v>
      </c>
      <c r="O21" s="14" t="s">
        <v>265</v>
      </c>
    </row>
    <row r="22" spans="1:15" ht="105.6" x14ac:dyDescent="0.3">
      <c r="A22" s="14" t="s">
        <v>343</v>
      </c>
      <c r="B22" s="14" t="s">
        <v>364</v>
      </c>
      <c r="C22" s="13" t="s">
        <v>370</v>
      </c>
      <c r="D22" s="14" t="s">
        <v>371</v>
      </c>
      <c r="E22" s="14" t="s">
        <v>372</v>
      </c>
      <c r="F22" s="14" t="s">
        <v>353</v>
      </c>
      <c r="G22" s="14" t="s">
        <v>354</v>
      </c>
      <c r="H22" s="14"/>
      <c r="I22" s="14" t="s">
        <v>355</v>
      </c>
      <c r="J22" s="14" t="s">
        <v>318</v>
      </c>
      <c r="K22" s="14" t="s">
        <v>373</v>
      </c>
      <c r="L22" s="14" t="s">
        <v>374</v>
      </c>
      <c r="M22" s="13" t="s">
        <v>263</v>
      </c>
      <c r="N22" s="14" t="s">
        <v>321</v>
      </c>
      <c r="O22" s="14" t="s">
        <v>265</v>
      </c>
    </row>
    <row r="23" spans="1:15" ht="92.4" x14ac:dyDescent="0.3">
      <c r="A23" s="14" t="s">
        <v>343</v>
      </c>
      <c r="B23" s="14" t="s">
        <v>364</v>
      </c>
      <c r="C23" s="13" t="s">
        <v>375</v>
      </c>
      <c r="D23" s="14" t="s">
        <v>376</v>
      </c>
      <c r="E23" s="14" t="s">
        <v>377</v>
      </c>
      <c r="F23" s="14" t="s">
        <v>325</v>
      </c>
      <c r="G23" s="14" t="s">
        <v>378</v>
      </c>
      <c r="H23" s="14" t="s">
        <v>354</v>
      </c>
      <c r="I23" s="14" t="s">
        <v>379</v>
      </c>
      <c r="J23" s="14" t="s">
        <v>318</v>
      </c>
      <c r="K23" s="14" t="s">
        <v>380</v>
      </c>
      <c r="L23" s="14" t="s">
        <v>381</v>
      </c>
      <c r="M23" s="13" t="s">
        <v>276</v>
      </c>
      <c r="N23" s="14" t="s">
        <v>264</v>
      </c>
      <c r="O23" s="14" t="s">
        <v>265</v>
      </c>
    </row>
    <row r="24" spans="1:15" ht="105.6" x14ac:dyDescent="0.3">
      <c r="A24" s="14" t="s">
        <v>343</v>
      </c>
      <c r="B24" s="14" t="s">
        <v>364</v>
      </c>
      <c r="C24" s="13" t="s">
        <v>382</v>
      </c>
      <c r="D24" s="14" t="s">
        <v>383</v>
      </c>
      <c r="E24" s="14" t="s">
        <v>384</v>
      </c>
      <c r="F24" s="14" t="s">
        <v>353</v>
      </c>
      <c r="G24" s="14" t="s">
        <v>354</v>
      </c>
      <c r="H24" s="14"/>
      <c r="I24" s="14" t="s">
        <v>355</v>
      </c>
      <c r="J24" s="14" t="s">
        <v>318</v>
      </c>
      <c r="K24" s="14" t="s">
        <v>385</v>
      </c>
      <c r="L24" s="14" t="s">
        <v>386</v>
      </c>
      <c r="M24" s="13" t="s">
        <v>276</v>
      </c>
      <c r="N24" s="14" t="s">
        <v>321</v>
      </c>
      <c r="O24" s="14" t="s">
        <v>265</v>
      </c>
    </row>
    <row r="25" spans="1:15" ht="105.6" x14ac:dyDescent="0.3">
      <c r="A25" s="14" t="s">
        <v>343</v>
      </c>
      <c r="B25" s="14" t="s">
        <v>364</v>
      </c>
      <c r="C25" s="13" t="s">
        <v>387</v>
      </c>
      <c r="D25" s="14" t="s">
        <v>388</v>
      </c>
      <c r="E25" s="14" t="s">
        <v>389</v>
      </c>
      <c r="F25" s="14" t="s">
        <v>353</v>
      </c>
      <c r="G25" s="14" t="s">
        <v>354</v>
      </c>
      <c r="H25" s="14"/>
      <c r="I25" s="14" t="s">
        <v>355</v>
      </c>
      <c r="J25" s="14" t="s">
        <v>318</v>
      </c>
      <c r="K25" s="14" t="s">
        <v>390</v>
      </c>
      <c r="L25" s="14" t="s">
        <v>391</v>
      </c>
      <c r="M25" s="13" t="s">
        <v>276</v>
      </c>
      <c r="N25" s="14" t="s">
        <v>321</v>
      </c>
      <c r="O25" s="14" t="s">
        <v>265</v>
      </c>
    </row>
    <row r="26" spans="1:15" ht="66" x14ac:dyDescent="0.3">
      <c r="A26" s="14" t="s">
        <v>343</v>
      </c>
      <c r="B26" s="14" t="s">
        <v>364</v>
      </c>
      <c r="C26" s="13" t="s">
        <v>392</v>
      </c>
      <c r="D26" s="14" t="s">
        <v>393</v>
      </c>
      <c r="E26" s="14" t="s">
        <v>394</v>
      </c>
      <c r="F26" s="14" t="s">
        <v>353</v>
      </c>
      <c r="G26" s="14" t="s">
        <v>354</v>
      </c>
      <c r="H26" s="14"/>
      <c r="I26" s="14" t="s">
        <v>355</v>
      </c>
      <c r="J26" s="14" t="s">
        <v>318</v>
      </c>
      <c r="K26" s="14" t="s">
        <v>395</v>
      </c>
      <c r="L26" s="14" t="s">
        <v>396</v>
      </c>
      <c r="M26" s="13" t="s">
        <v>276</v>
      </c>
      <c r="N26" s="14" t="s">
        <v>321</v>
      </c>
      <c r="O26" s="14" t="s">
        <v>265</v>
      </c>
    </row>
    <row r="27" spans="1:15" ht="118.8" x14ac:dyDescent="0.3">
      <c r="A27" s="14" t="s">
        <v>343</v>
      </c>
      <c r="B27" s="14" t="s">
        <v>397</v>
      </c>
      <c r="C27" s="13" t="s">
        <v>398</v>
      </c>
      <c r="D27" s="14" t="s">
        <v>399</v>
      </c>
      <c r="E27" s="14" t="s">
        <v>400</v>
      </c>
      <c r="F27" s="14" t="s">
        <v>325</v>
      </c>
      <c r="G27" s="14" t="s">
        <v>258</v>
      </c>
      <c r="H27" s="14" t="s">
        <v>378</v>
      </c>
      <c r="I27" s="14" t="s">
        <v>259</v>
      </c>
      <c r="J27" s="14" t="s">
        <v>260</v>
      </c>
      <c r="K27" s="14" t="s">
        <v>401</v>
      </c>
      <c r="L27" s="14" t="s">
        <v>402</v>
      </c>
      <c r="M27" s="13" t="s">
        <v>263</v>
      </c>
      <c r="N27" s="14" t="s">
        <v>264</v>
      </c>
      <c r="O27" s="14" t="s">
        <v>265</v>
      </c>
    </row>
    <row r="28" spans="1:15" ht="118.8" x14ac:dyDescent="0.3">
      <c r="A28" s="14" t="s">
        <v>403</v>
      </c>
      <c r="B28" s="14" t="s">
        <v>404</v>
      </c>
      <c r="C28" s="13" t="s">
        <v>405</v>
      </c>
      <c r="D28" s="14" t="s">
        <v>406</v>
      </c>
      <c r="E28" s="14" t="s">
        <v>407</v>
      </c>
      <c r="F28" s="14" t="s">
        <v>353</v>
      </c>
      <c r="G28" s="14" t="s">
        <v>378</v>
      </c>
      <c r="H28" s="14"/>
      <c r="I28" s="14" t="s">
        <v>379</v>
      </c>
      <c r="J28" s="14" t="s">
        <v>318</v>
      </c>
      <c r="K28" s="14" t="s">
        <v>408</v>
      </c>
      <c r="L28" s="14" t="s">
        <v>409</v>
      </c>
      <c r="M28" s="13" t="s">
        <v>276</v>
      </c>
      <c r="N28" s="14" t="s">
        <v>410</v>
      </c>
      <c r="O28" s="14" t="s">
        <v>265</v>
      </c>
    </row>
    <row r="29" spans="1:15" ht="105.6" x14ac:dyDescent="0.3">
      <c r="A29" s="14" t="s">
        <v>403</v>
      </c>
      <c r="B29" s="14" t="s">
        <v>404</v>
      </c>
      <c r="C29" s="13" t="s">
        <v>411</v>
      </c>
      <c r="D29" s="14" t="s">
        <v>412</v>
      </c>
      <c r="E29" s="14" t="s">
        <v>413</v>
      </c>
      <c r="F29" s="14" t="s">
        <v>257</v>
      </c>
      <c r="G29" s="14" t="s">
        <v>378</v>
      </c>
      <c r="H29" s="14"/>
      <c r="I29" s="14" t="s">
        <v>379</v>
      </c>
      <c r="J29" s="14" t="s">
        <v>318</v>
      </c>
      <c r="K29" s="14" t="s">
        <v>414</v>
      </c>
      <c r="L29" s="14" t="s">
        <v>415</v>
      </c>
      <c r="M29" s="13" t="s">
        <v>263</v>
      </c>
      <c r="N29" s="14" t="s">
        <v>410</v>
      </c>
      <c r="O29" s="14" t="s">
        <v>265</v>
      </c>
    </row>
    <row r="30" spans="1:15" ht="118.8" x14ac:dyDescent="0.3">
      <c r="A30" s="14" t="s">
        <v>403</v>
      </c>
      <c r="B30" s="14" t="s">
        <v>404</v>
      </c>
      <c r="C30" s="13" t="s">
        <v>416</v>
      </c>
      <c r="D30" s="14" t="s">
        <v>417</v>
      </c>
      <c r="E30" s="14" t="s">
        <v>418</v>
      </c>
      <c r="F30" s="14" t="s">
        <v>353</v>
      </c>
      <c r="G30" s="14" t="s">
        <v>378</v>
      </c>
      <c r="H30" s="14"/>
      <c r="I30" s="14" t="s">
        <v>379</v>
      </c>
      <c r="J30" s="14" t="s">
        <v>318</v>
      </c>
      <c r="K30" s="14" t="s">
        <v>419</v>
      </c>
      <c r="L30" s="14" t="s">
        <v>420</v>
      </c>
      <c r="M30" s="13" t="s">
        <v>276</v>
      </c>
      <c r="N30" s="14" t="s">
        <v>410</v>
      </c>
      <c r="O30" s="14" t="s">
        <v>265</v>
      </c>
    </row>
    <row r="31" spans="1:15" ht="105.6" x14ac:dyDescent="0.3">
      <c r="A31" s="14" t="s">
        <v>403</v>
      </c>
      <c r="B31" s="14" t="s">
        <v>404</v>
      </c>
      <c r="C31" s="13" t="s">
        <v>421</v>
      </c>
      <c r="D31" s="14" t="s">
        <v>422</v>
      </c>
      <c r="E31" s="14" t="s">
        <v>423</v>
      </c>
      <c r="F31" s="14" t="s">
        <v>257</v>
      </c>
      <c r="G31" s="14" t="s">
        <v>354</v>
      </c>
      <c r="H31" s="14"/>
      <c r="I31" s="14" t="s">
        <v>355</v>
      </c>
      <c r="J31" s="14" t="s">
        <v>318</v>
      </c>
      <c r="K31" s="14" t="s">
        <v>424</v>
      </c>
      <c r="L31" s="14" t="s">
        <v>425</v>
      </c>
      <c r="M31" s="13" t="s">
        <v>276</v>
      </c>
      <c r="N31" s="14" t="s">
        <v>410</v>
      </c>
      <c r="O31" s="14" t="s">
        <v>265</v>
      </c>
    </row>
    <row r="32" spans="1:15" ht="92.4" x14ac:dyDescent="0.3">
      <c r="A32" s="14" t="s">
        <v>403</v>
      </c>
      <c r="B32" s="14" t="s">
        <v>404</v>
      </c>
      <c r="C32" s="13" t="s">
        <v>426</v>
      </c>
      <c r="D32" s="14" t="s">
        <v>427</v>
      </c>
      <c r="E32" s="14" t="s">
        <v>428</v>
      </c>
      <c r="F32" s="14" t="s">
        <v>257</v>
      </c>
      <c r="G32" s="14" t="s">
        <v>378</v>
      </c>
      <c r="H32" s="14"/>
      <c r="I32" s="14" t="s">
        <v>379</v>
      </c>
      <c r="J32" s="14" t="s">
        <v>318</v>
      </c>
      <c r="K32" s="14" t="s">
        <v>429</v>
      </c>
      <c r="L32" s="14" t="s">
        <v>430</v>
      </c>
      <c r="M32" s="13" t="s">
        <v>276</v>
      </c>
      <c r="N32" s="14" t="s">
        <v>410</v>
      </c>
      <c r="O32" s="14" t="s">
        <v>265</v>
      </c>
    </row>
    <row r="33" spans="1:15" ht="105.6" x14ac:dyDescent="0.3">
      <c r="A33" s="14" t="s">
        <v>403</v>
      </c>
      <c r="B33" s="14" t="s">
        <v>431</v>
      </c>
      <c r="C33" s="13" t="s">
        <v>432</v>
      </c>
      <c r="D33" s="14" t="s">
        <v>433</v>
      </c>
      <c r="E33" s="14" t="s">
        <v>434</v>
      </c>
      <c r="F33" s="14" t="s">
        <v>353</v>
      </c>
      <c r="G33" s="14" t="s">
        <v>354</v>
      </c>
      <c r="H33" s="14"/>
      <c r="I33" s="14" t="s">
        <v>355</v>
      </c>
      <c r="J33" s="14" t="s">
        <v>318</v>
      </c>
      <c r="K33" s="14" t="s">
        <v>435</v>
      </c>
      <c r="L33" s="14" t="s">
        <v>436</v>
      </c>
      <c r="M33" s="13" t="s">
        <v>263</v>
      </c>
      <c r="N33" s="14" t="s">
        <v>410</v>
      </c>
      <c r="O33" s="14" t="s">
        <v>265</v>
      </c>
    </row>
    <row r="34" spans="1:15" ht="79.2" x14ac:dyDescent="0.3">
      <c r="A34" s="14" t="s">
        <v>403</v>
      </c>
      <c r="B34" s="14" t="s">
        <v>431</v>
      </c>
      <c r="C34" s="13" t="s">
        <v>437</v>
      </c>
      <c r="D34" s="14" t="s">
        <v>438</v>
      </c>
      <c r="E34" s="14" t="s">
        <v>439</v>
      </c>
      <c r="F34" s="14" t="s">
        <v>353</v>
      </c>
      <c r="G34" s="14" t="s">
        <v>354</v>
      </c>
      <c r="H34" s="14"/>
      <c r="I34" s="14" t="s">
        <v>355</v>
      </c>
      <c r="J34" s="14" t="s">
        <v>318</v>
      </c>
      <c r="K34" s="14" t="s">
        <v>440</v>
      </c>
      <c r="L34" s="14" t="s">
        <v>441</v>
      </c>
      <c r="M34" s="13" t="s">
        <v>263</v>
      </c>
      <c r="N34" s="14" t="s">
        <v>410</v>
      </c>
      <c r="O34" s="14" t="s">
        <v>265</v>
      </c>
    </row>
    <row r="35" spans="1:15" ht="92.4" x14ac:dyDescent="0.3">
      <c r="A35" s="14" t="s">
        <v>403</v>
      </c>
      <c r="B35" s="14" t="s">
        <v>442</v>
      </c>
      <c r="C35" s="13" t="s">
        <v>443</v>
      </c>
      <c r="D35" s="14" t="s">
        <v>444</v>
      </c>
      <c r="E35" s="14" t="s">
        <v>445</v>
      </c>
      <c r="F35" s="14" t="s">
        <v>325</v>
      </c>
      <c r="G35" s="14" t="s">
        <v>378</v>
      </c>
      <c r="H35" s="14"/>
      <c r="I35" s="14" t="s">
        <v>379</v>
      </c>
      <c r="J35" s="14" t="s">
        <v>318</v>
      </c>
      <c r="K35" s="14" t="s">
        <v>446</v>
      </c>
      <c r="L35" s="14" t="s">
        <v>447</v>
      </c>
      <c r="M35" s="13" t="s">
        <v>263</v>
      </c>
      <c r="N35" s="14" t="s">
        <v>264</v>
      </c>
      <c r="O35" s="14" t="s">
        <v>265</v>
      </c>
    </row>
    <row r="36" spans="1:15" ht="79.2" x14ac:dyDescent="0.3">
      <c r="A36" s="14" t="s">
        <v>403</v>
      </c>
      <c r="B36" s="14" t="s">
        <v>442</v>
      </c>
      <c r="C36" s="13" t="s">
        <v>448</v>
      </c>
      <c r="D36" s="14" t="s">
        <v>449</v>
      </c>
      <c r="E36" s="14" t="s">
        <v>450</v>
      </c>
      <c r="F36" s="14" t="s">
        <v>353</v>
      </c>
      <c r="G36" s="14" t="s">
        <v>354</v>
      </c>
      <c r="H36" s="14"/>
      <c r="I36" s="14" t="s">
        <v>355</v>
      </c>
      <c r="J36" s="14" t="s">
        <v>318</v>
      </c>
      <c r="K36" s="14" t="s">
        <v>451</v>
      </c>
      <c r="L36" s="14" t="s">
        <v>452</v>
      </c>
      <c r="M36" s="13" t="s">
        <v>263</v>
      </c>
      <c r="N36" s="14" t="s">
        <v>410</v>
      </c>
      <c r="O36" s="14" t="s">
        <v>265</v>
      </c>
    </row>
    <row r="37" spans="1:15" ht="26.4" x14ac:dyDescent="0.3">
      <c r="A37" s="14" t="s">
        <v>453</v>
      </c>
      <c r="B37" s="14" t="s">
        <v>454</v>
      </c>
      <c r="C37" s="13" t="s">
        <v>455</v>
      </c>
      <c r="D37" s="14" t="s">
        <v>456</v>
      </c>
      <c r="E37" s="14" t="s">
        <v>457</v>
      </c>
      <c r="F37" s="14" t="s">
        <v>257</v>
      </c>
      <c r="G37" s="14" t="s">
        <v>326</v>
      </c>
      <c r="H37" s="14"/>
      <c r="I37" s="14" t="s">
        <v>458</v>
      </c>
      <c r="J37" s="14" t="s">
        <v>459</v>
      </c>
      <c r="K37" s="14" t="s">
        <v>460</v>
      </c>
      <c r="L37" s="14" t="s">
        <v>461</v>
      </c>
      <c r="M37" s="13" t="s">
        <v>263</v>
      </c>
      <c r="N37" s="14" t="s">
        <v>264</v>
      </c>
      <c r="O37" s="14" t="s">
        <v>265</v>
      </c>
    </row>
    <row r="38" spans="1:15" ht="52.8" x14ac:dyDescent="0.3">
      <c r="A38" s="14" t="s">
        <v>453</v>
      </c>
      <c r="B38" s="14" t="s">
        <v>454</v>
      </c>
      <c r="C38" s="13" t="s">
        <v>462</v>
      </c>
      <c r="D38" s="14" t="s">
        <v>463</v>
      </c>
      <c r="E38" s="14" t="s">
        <v>464</v>
      </c>
      <c r="F38" s="14" t="s">
        <v>325</v>
      </c>
      <c r="G38" s="14" t="s">
        <v>326</v>
      </c>
      <c r="H38" s="14"/>
      <c r="I38" s="14" t="s">
        <v>465</v>
      </c>
      <c r="J38" s="14" t="s">
        <v>459</v>
      </c>
      <c r="K38" s="14" t="s">
        <v>466</v>
      </c>
      <c r="L38" s="14" t="s">
        <v>467</v>
      </c>
      <c r="M38" s="13" t="s">
        <v>276</v>
      </c>
      <c r="N38" s="14" t="s">
        <v>264</v>
      </c>
      <c r="O38" s="14" t="s">
        <v>265</v>
      </c>
    </row>
    <row r="39" spans="1:15" ht="105.6" x14ac:dyDescent="0.3">
      <c r="A39" s="14" t="s">
        <v>453</v>
      </c>
      <c r="B39" s="14" t="s">
        <v>454</v>
      </c>
      <c r="C39" s="13" t="s">
        <v>468</v>
      </c>
      <c r="D39" s="14" t="s">
        <v>469</v>
      </c>
      <c r="E39" s="14" t="s">
        <v>470</v>
      </c>
      <c r="F39" s="14" t="s">
        <v>257</v>
      </c>
      <c r="G39" s="14" t="s">
        <v>326</v>
      </c>
      <c r="H39" s="14"/>
      <c r="I39" s="14" t="s">
        <v>471</v>
      </c>
      <c r="J39" s="14" t="s">
        <v>472</v>
      </c>
      <c r="K39" s="14" t="s">
        <v>473</v>
      </c>
      <c r="L39" s="14" t="s">
        <v>474</v>
      </c>
      <c r="M39" s="13" t="s">
        <v>263</v>
      </c>
      <c r="N39" s="14" t="s">
        <v>264</v>
      </c>
      <c r="O39" s="14" t="s">
        <v>265</v>
      </c>
    </row>
    <row r="40" spans="1:15" ht="66" x14ac:dyDescent="0.3">
      <c r="A40" s="14" t="s">
        <v>453</v>
      </c>
      <c r="B40" s="14" t="s">
        <v>454</v>
      </c>
      <c r="C40" s="13" t="s">
        <v>475</v>
      </c>
      <c r="D40" s="14" t="s">
        <v>476</v>
      </c>
      <c r="E40" s="14" t="s">
        <v>477</v>
      </c>
      <c r="F40" s="14" t="s">
        <v>257</v>
      </c>
      <c r="G40" s="14" t="s">
        <v>478</v>
      </c>
      <c r="H40" s="14" t="s">
        <v>326</v>
      </c>
      <c r="I40" s="14" t="s">
        <v>479</v>
      </c>
      <c r="J40" s="14" t="s">
        <v>459</v>
      </c>
      <c r="K40" s="14" t="s">
        <v>480</v>
      </c>
      <c r="L40" s="14" t="s">
        <v>481</v>
      </c>
      <c r="M40" s="13" t="s">
        <v>276</v>
      </c>
      <c r="N40" s="14" t="s">
        <v>264</v>
      </c>
      <c r="O40" s="14" t="s">
        <v>265</v>
      </c>
    </row>
    <row r="41" spans="1:15" ht="66" x14ac:dyDescent="0.3">
      <c r="A41" s="14" t="s">
        <v>453</v>
      </c>
      <c r="B41" s="14" t="s">
        <v>454</v>
      </c>
      <c r="C41" s="13" t="s">
        <v>482</v>
      </c>
      <c r="D41" s="14" t="s">
        <v>483</v>
      </c>
      <c r="E41" s="14" t="s">
        <v>484</v>
      </c>
      <c r="F41" s="14" t="s">
        <v>325</v>
      </c>
      <c r="G41" s="14" t="s">
        <v>326</v>
      </c>
      <c r="H41" s="14"/>
      <c r="I41" s="14" t="s">
        <v>458</v>
      </c>
      <c r="J41" s="14" t="s">
        <v>459</v>
      </c>
      <c r="K41" s="14" t="s">
        <v>485</v>
      </c>
      <c r="L41" s="14" t="s">
        <v>486</v>
      </c>
      <c r="M41" s="13" t="s">
        <v>287</v>
      </c>
      <c r="N41" s="14" t="s">
        <v>264</v>
      </c>
      <c r="O41" s="14" t="s">
        <v>265</v>
      </c>
    </row>
    <row r="42" spans="1:15" ht="66" x14ac:dyDescent="0.3">
      <c r="A42" s="14" t="s">
        <v>453</v>
      </c>
      <c r="B42" s="14" t="s">
        <v>454</v>
      </c>
      <c r="C42" s="13" t="s">
        <v>487</v>
      </c>
      <c r="D42" s="14" t="s">
        <v>488</v>
      </c>
      <c r="E42" s="14" t="s">
        <v>489</v>
      </c>
      <c r="F42" s="14" t="s">
        <v>325</v>
      </c>
      <c r="G42" s="14" t="s">
        <v>326</v>
      </c>
      <c r="H42" s="14"/>
      <c r="I42" s="14" t="s">
        <v>458</v>
      </c>
      <c r="J42" s="14" t="s">
        <v>459</v>
      </c>
      <c r="K42" s="14" t="s">
        <v>490</v>
      </c>
      <c r="L42" s="14" t="s">
        <v>491</v>
      </c>
      <c r="M42" s="13" t="s">
        <v>276</v>
      </c>
      <c r="N42" s="14" t="s">
        <v>330</v>
      </c>
      <c r="O42" s="14" t="s">
        <v>265</v>
      </c>
    </row>
    <row r="43" spans="1:15" ht="39.6" x14ac:dyDescent="0.3">
      <c r="A43" s="14" t="s">
        <v>453</v>
      </c>
      <c r="B43" s="14" t="s">
        <v>492</v>
      </c>
      <c r="C43" s="13" t="s">
        <v>493</v>
      </c>
      <c r="D43" s="14" t="s">
        <v>494</v>
      </c>
      <c r="E43" s="14" t="s">
        <v>495</v>
      </c>
      <c r="F43" s="14" t="s">
        <v>325</v>
      </c>
      <c r="G43" s="14" t="s">
        <v>478</v>
      </c>
      <c r="H43" s="14" t="s">
        <v>326</v>
      </c>
      <c r="I43" s="14" t="s">
        <v>479</v>
      </c>
      <c r="J43" s="14" t="s">
        <v>318</v>
      </c>
      <c r="K43" s="14" t="s">
        <v>496</v>
      </c>
      <c r="L43" s="14" t="s">
        <v>497</v>
      </c>
      <c r="M43" s="13" t="s">
        <v>276</v>
      </c>
      <c r="N43" s="14" t="s">
        <v>330</v>
      </c>
      <c r="O43" s="14" t="s">
        <v>265</v>
      </c>
    </row>
    <row r="44" spans="1:15" ht="26.4" x14ac:dyDescent="0.3">
      <c r="A44" s="14" t="s">
        <v>453</v>
      </c>
      <c r="B44" s="14" t="s">
        <v>492</v>
      </c>
      <c r="C44" s="13" t="s">
        <v>498</v>
      </c>
      <c r="D44" s="14" t="s">
        <v>499</v>
      </c>
      <c r="E44" s="14" t="s">
        <v>500</v>
      </c>
      <c r="F44" s="14" t="s">
        <v>325</v>
      </c>
      <c r="G44" s="14" t="s">
        <v>478</v>
      </c>
      <c r="H44" s="14"/>
      <c r="I44" s="14" t="s">
        <v>479</v>
      </c>
      <c r="J44" s="14" t="s">
        <v>318</v>
      </c>
      <c r="K44" s="14" t="s">
        <v>501</v>
      </c>
      <c r="L44" s="14" t="s">
        <v>502</v>
      </c>
      <c r="M44" s="13" t="s">
        <v>276</v>
      </c>
      <c r="N44" s="14" t="s">
        <v>330</v>
      </c>
      <c r="O44" s="14" t="s">
        <v>265</v>
      </c>
    </row>
    <row r="45" spans="1:15" ht="39.6" x14ac:dyDescent="0.3">
      <c r="A45" s="14" t="s">
        <v>453</v>
      </c>
      <c r="B45" s="14" t="s">
        <v>492</v>
      </c>
      <c r="C45" s="13" t="s">
        <v>503</v>
      </c>
      <c r="D45" s="14" t="s">
        <v>504</v>
      </c>
      <c r="E45" s="14" t="s">
        <v>505</v>
      </c>
      <c r="F45" s="14" t="s">
        <v>325</v>
      </c>
      <c r="G45" s="14" t="s">
        <v>506</v>
      </c>
      <c r="H45" s="14" t="s">
        <v>478</v>
      </c>
      <c r="I45" s="14" t="s">
        <v>507</v>
      </c>
      <c r="J45" s="14" t="s">
        <v>318</v>
      </c>
      <c r="K45" s="14" t="s">
        <v>508</v>
      </c>
      <c r="L45" s="14" t="s">
        <v>509</v>
      </c>
      <c r="M45" s="13" t="s">
        <v>276</v>
      </c>
      <c r="N45" s="14" t="s">
        <v>330</v>
      </c>
      <c r="O45" s="14">
        <f>COUNTIF(Mau_cau!$N$4:$N$300,"*"&amp;C45&amp;"*")</f>
        <v>6</v>
      </c>
    </row>
    <row r="46" spans="1:15" ht="92.4" x14ac:dyDescent="0.3">
      <c r="A46" s="14" t="s">
        <v>453</v>
      </c>
      <c r="B46" s="14" t="s">
        <v>492</v>
      </c>
      <c r="C46" s="13" t="s">
        <v>510</v>
      </c>
      <c r="D46" s="14" t="s">
        <v>511</v>
      </c>
      <c r="E46" s="14" t="s">
        <v>512</v>
      </c>
      <c r="F46" s="14" t="s">
        <v>325</v>
      </c>
      <c r="G46" s="14" t="s">
        <v>478</v>
      </c>
      <c r="H46" s="14" t="s">
        <v>258</v>
      </c>
      <c r="I46" s="14" t="s">
        <v>513</v>
      </c>
      <c r="J46" s="14" t="s">
        <v>514</v>
      </c>
      <c r="K46" s="14" t="s">
        <v>515</v>
      </c>
      <c r="L46" s="14" t="s">
        <v>516</v>
      </c>
      <c r="M46" s="13" t="s">
        <v>263</v>
      </c>
      <c r="N46" s="14" t="s">
        <v>264</v>
      </c>
      <c r="O46" s="14" t="s">
        <v>265</v>
      </c>
    </row>
    <row r="47" spans="1:15" ht="26.4" x14ac:dyDescent="0.3">
      <c r="A47" s="14" t="s">
        <v>453</v>
      </c>
      <c r="B47" s="14" t="s">
        <v>492</v>
      </c>
      <c r="C47" s="13" t="s">
        <v>517</v>
      </c>
      <c r="D47" s="14" t="s">
        <v>518</v>
      </c>
      <c r="E47" s="14" t="s">
        <v>519</v>
      </c>
      <c r="F47" s="14" t="s">
        <v>325</v>
      </c>
      <c r="G47" s="14" t="s">
        <v>326</v>
      </c>
      <c r="H47" s="14"/>
      <c r="I47" s="14" t="s">
        <v>458</v>
      </c>
      <c r="J47" s="14" t="s">
        <v>459</v>
      </c>
      <c r="K47" s="14" t="s">
        <v>520</v>
      </c>
      <c r="L47" s="14" t="s">
        <v>521</v>
      </c>
      <c r="M47" s="13" t="s">
        <v>287</v>
      </c>
      <c r="N47" s="14" t="s">
        <v>330</v>
      </c>
      <c r="O47" s="14" t="s">
        <v>265</v>
      </c>
    </row>
    <row r="48" spans="1:15" ht="52.8" x14ac:dyDescent="0.3">
      <c r="A48" s="14" t="s">
        <v>453</v>
      </c>
      <c r="B48" s="14" t="s">
        <v>522</v>
      </c>
      <c r="C48" s="13" t="s">
        <v>523</v>
      </c>
      <c r="D48" s="14" t="s">
        <v>524</v>
      </c>
      <c r="E48" s="14" t="s">
        <v>525</v>
      </c>
      <c r="F48" s="14" t="s">
        <v>257</v>
      </c>
      <c r="G48" s="14" t="s">
        <v>478</v>
      </c>
      <c r="H48" s="14"/>
      <c r="I48" s="14" t="s">
        <v>526</v>
      </c>
      <c r="J48" s="14" t="s">
        <v>318</v>
      </c>
      <c r="K48" s="14" t="s">
        <v>527</v>
      </c>
      <c r="L48" s="14" t="s">
        <v>528</v>
      </c>
      <c r="M48" s="13" t="s">
        <v>263</v>
      </c>
      <c r="N48" s="14" t="s">
        <v>410</v>
      </c>
      <c r="O48" s="14" t="s">
        <v>265</v>
      </c>
    </row>
    <row r="49" spans="1:15" ht="39.6" x14ac:dyDescent="0.3">
      <c r="A49" s="14" t="s">
        <v>453</v>
      </c>
      <c r="B49" s="14" t="s">
        <v>522</v>
      </c>
      <c r="C49" s="13" t="s">
        <v>529</v>
      </c>
      <c r="D49" s="14" t="s">
        <v>530</v>
      </c>
      <c r="E49" s="14" t="s">
        <v>531</v>
      </c>
      <c r="F49" s="14" t="s">
        <v>257</v>
      </c>
      <c r="G49" s="14" t="s">
        <v>258</v>
      </c>
      <c r="H49" s="14"/>
      <c r="I49" s="14" t="s">
        <v>259</v>
      </c>
      <c r="J49" s="14" t="s">
        <v>318</v>
      </c>
      <c r="K49" s="14" t="s">
        <v>532</v>
      </c>
      <c r="L49" s="14" t="s">
        <v>533</v>
      </c>
      <c r="M49" s="13" t="s">
        <v>263</v>
      </c>
      <c r="N49" s="14" t="s">
        <v>410</v>
      </c>
      <c r="O49" s="14" t="s">
        <v>265</v>
      </c>
    </row>
    <row r="50" spans="1:15" ht="66" x14ac:dyDescent="0.3">
      <c r="A50" s="14" t="s">
        <v>453</v>
      </c>
      <c r="B50" s="14" t="s">
        <v>522</v>
      </c>
      <c r="C50" s="13" t="s">
        <v>534</v>
      </c>
      <c r="D50" s="14" t="s">
        <v>535</v>
      </c>
      <c r="E50" s="14" t="s">
        <v>536</v>
      </c>
      <c r="F50" s="14" t="s">
        <v>257</v>
      </c>
      <c r="G50" s="14" t="s">
        <v>478</v>
      </c>
      <c r="H50" s="14" t="s">
        <v>506</v>
      </c>
      <c r="I50" s="14" t="s">
        <v>479</v>
      </c>
      <c r="J50" s="14" t="s">
        <v>318</v>
      </c>
      <c r="K50" s="14" t="s">
        <v>537</v>
      </c>
      <c r="L50" s="14" t="s">
        <v>538</v>
      </c>
      <c r="M50" s="13" t="s">
        <v>276</v>
      </c>
      <c r="N50" s="14" t="s">
        <v>264</v>
      </c>
      <c r="O50" s="14">
        <f>COUNTIF(Mau_cau!$N$4:$N$300,"*"&amp;C50&amp;"*")</f>
        <v>7</v>
      </c>
    </row>
    <row r="51" spans="1:15" ht="39.6" x14ac:dyDescent="0.3">
      <c r="A51" s="14" t="s">
        <v>453</v>
      </c>
      <c r="B51" s="14" t="s">
        <v>522</v>
      </c>
      <c r="C51" s="13" t="s">
        <v>539</v>
      </c>
      <c r="D51" s="14" t="s">
        <v>540</v>
      </c>
      <c r="E51" s="14" t="s">
        <v>541</v>
      </c>
      <c r="F51" s="14" t="s">
        <v>257</v>
      </c>
      <c r="G51" s="14" t="s">
        <v>478</v>
      </c>
      <c r="H51" s="14" t="s">
        <v>506</v>
      </c>
      <c r="I51" s="14" t="s">
        <v>479</v>
      </c>
      <c r="J51" s="14" t="s">
        <v>318</v>
      </c>
      <c r="K51" s="14" t="s">
        <v>542</v>
      </c>
      <c r="L51" s="14" t="s">
        <v>543</v>
      </c>
      <c r="M51" s="13" t="s">
        <v>276</v>
      </c>
      <c r="N51" s="14" t="s">
        <v>410</v>
      </c>
      <c r="O51" s="14">
        <f>COUNTIF(Mau_cau!$N$4:$N$300,"*"&amp;C51&amp;"*")</f>
        <v>2</v>
      </c>
    </row>
    <row r="52" spans="1:15" ht="52.8" x14ac:dyDescent="0.3">
      <c r="A52" s="14" t="s">
        <v>453</v>
      </c>
      <c r="B52" s="14" t="s">
        <v>522</v>
      </c>
      <c r="C52" s="13" t="s">
        <v>544</v>
      </c>
      <c r="D52" s="14" t="s">
        <v>545</v>
      </c>
      <c r="E52" s="14" t="s">
        <v>546</v>
      </c>
      <c r="F52" s="14" t="s">
        <v>325</v>
      </c>
      <c r="G52" s="14" t="s">
        <v>258</v>
      </c>
      <c r="H52" s="14"/>
      <c r="I52" s="14" t="s">
        <v>259</v>
      </c>
      <c r="J52" s="14" t="s">
        <v>318</v>
      </c>
      <c r="K52" s="14" t="s">
        <v>547</v>
      </c>
      <c r="L52" s="14" t="s">
        <v>548</v>
      </c>
      <c r="M52" s="13" t="s">
        <v>276</v>
      </c>
      <c r="N52" s="14" t="s">
        <v>410</v>
      </c>
      <c r="O52" s="14" t="s">
        <v>265</v>
      </c>
    </row>
    <row r="53" spans="1:15" ht="92.4" x14ac:dyDescent="0.3">
      <c r="A53" s="14" t="s">
        <v>453</v>
      </c>
      <c r="B53" s="14" t="s">
        <v>549</v>
      </c>
      <c r="C53" s="13" t="s">
        <v>550</v>
      </c>
      <c r="D53" s="14" t="s">
        <v>551</v>
      </c>
      <c r="E53" s="14" t="s">
        <v>552</v>
      </c>
      <c r="F53" s="14" t="s">
        <v>257</v>
      </c>
      <c r="G53" s="14" t="s">
        <v>326</v>
      </c>
      <c r="H53" s="14" t="s">
        <v>553</v>
      </c>
      <c r="I53" s="14" t="s">
        <v>554</v>
      </c>
      <c r="J53" s="14" t="s">
        <v>555</v>
      </c>
      <c r="K53" s="14" t="s">
        <v>556</v>
      </c>
      <c r="L53" s="14" t="s">
        <v>557</v>
      </c>
      <c r="M53" s="13" t="s">
        <v>263</v>
      </c>
      <c r="N53" s="14" t="s">
        <v>264</v>
      </c>
      <c r="O53" s="14" t="s">
        <v>265</v>
      </c>
    </row>
    <row r="54" spans="1:15" ht="39.6" x14ac:dyDescent="0.3">
      <c r="A54" s="14" t="s">
        <v>453</v>
      </c>
      <c r="B54" s="14" t="s">
        <v>549</v>
      </c>
      <c r="C54" s="13" t="s">
        <v>558</v>
      </c>
      <c r="D54" s="14" t="s">
        <v>559</v>
      </c>
      <c r="E54" s="14" t="s">
        <v>560</v>
      </c>
      <c r="F54" s="14" t="s">
        <v>325</v>
      </c>
      <c r="G54" s="14" t="s">
        <v>326</v>
      </c>
      <c r="H54" s="14"/>
      <c r="I54" s="14" t="s">
        <v>458</v>
      </c>
      <c r="J54" s="14" t="s">
        <v>555</v>
      </c>
      <c r="K54" s="14" t="s">
        <v>561</v>
      </c>
      <c r="L54" s="14" t="s">
        <v>562</v>
      </c>
      <c r="M54" s="13" t="s">
        <v>276</v>
      </c>
      <c r="N54" s="14" t="s">
        <v>264</v>
      </c>
      <c r="O54" s="14" t="s">
        <v>265</v>
      </c>
    </row>
    <row r="55" spans="1:15" ht="105.6" x14ac:dyDescent="0.3">
      <c r="A55" s="14" t="s">
        <v>453</v>
      </c>
      <c r="B55" s="14" t="s">
        <v>549</v>
      </c>
      <c r="C55" s="13" t="s">
        <v>563</v>
      </c>
      <c r="D55" s="14" t="s">
        <v>564</v>
      </c>
      <c r="E55" s="14" t="s">
        <v>565</v>
      </c>
      <c r="F55" s="14" t="s">
        <v>257</v>
      </c>
      <c r="G55" s="14" t="s">
        <v>326</v>
      </c>
      <c r="H55" s="14" t="s">
        <v>335</v>
      </c>
      <c r="I55" s="14" t="s">
        <v>566</v>
      </c>
      <c r="J55" s="14" t="s">
        <v>555</v>
      </c>
      <c r="K55" s="14" t="s">
        <v>567</v>
      </c>
      <c r="L55" s="14" t="s">
        <v>568</v>
      </c>
      <c r="M55" s="13" t="s">
        <v>263</v>
      </c>
      <c r="N55" s="14" t="s">
        <v>264</v>
      </c>
      <c r="O55" s="14" t="s">
        <v>265</v>
      </c>
    </row>
    <row r="56" spans="1:15" ht="79.2" x14ac:dyDescent="0.3">
      <c r="A56" s="14" t="s">
        <v>453</v>
      </c>
      <c r="B56" s="14" t="s">
        <v>549</v>
      </c>
      <c r="C56" s="13" t="s">
        <v>569</v>
      </c>
      <c r="D56" s="14" t="s">
        <v>570</v>
      </c>
      <c r="E56" s="14" t="s">
        <v>571</v>
      </c>
      <c r="F56" s="14" t="s">
        <v>325</v>
      </c>
      <c r="G56" s="14" t="s">
        <v>326</v>
      </c>
      <c r="H56" s="14" t="s">
        <v>335</v>
      </c>
      <c r="I56" s="14" t="s">
        <v>572</v>
      </c>
      <c r="J56" s="14" t="s">
        <v>555</v>
      </c>
      <c r="K56" s="14" t="s">
        <v>573</v>
      </c>
      <c r="L56" s="14" t="s">
        <v>574</v>
      </c>
      <c r="M56" s="13" t="s">
        <v>276</v>
      </c>
      <c r="N56" s="14" t="s">
        <v>264</v>
      </c>
      <c r="O56" s="14" t="s">
        <v>265</v>
      </c>
    </row>
    <row r="57" spans="1:15" ht="52.8" x14ac:dyDescent="0.3">
      <c r="A57" s="14" t="s">
        <v>453</v>
      </c>
      <c r="B57" s="14" t="s">
        <v>549</v>
      </c>
      <c r="C57" s="13" t="s">
        <v>575</v>
      </c>
      <c r="D57" s="14" t="s">
        <v>576</v>
      </c>
      <c r="E57" s="14" t="s">
        <v>577</v>
      </c>
      <c r="F57" s="14" t="s">
        <v>257</v>
      </c>
      <c r="G57" s="14" t="s">
        <v>326</v>
      </c>
      <c r="H57" s="14"/>
      <c r="I57" s="14" t="s">
        <v>458</v>
      </c>
      <c r="J57" s="14" t="s">
        <v>555</v>
      </c>
      <c r="K57" s="14" t="s">
        <v>578</v>
      </c>
      <c r="L57" s="14" t="s">
        <v>579</v>
      </c>
      <c r="M57" s="13" t="s">
        <v>276</v>
      </c>
      <c r="N57" s="14" t="s">
        <v>264</v>
      </c>
      <c r="O57" s="14" t="s">
        <v>265</v>
      </c>
    </row>
    <row r="58" spans="1:15" ht="105.6" x14ac:dyDescent="0.3">
      <c r="A58" s="14" t="s">
        <v>453</v>
      </c>
      <c r="B58" s="14" t="s">
        <v>580</v>
      </c>
      <c r="C58" s="13" t="s">
        <v>581</v>
      </c>
      <c r="D58" s="14" t="s">
        <v>582</v>
      </c>
      <c r="E58" s="14" t="s">
        <v>583</v>
      </c>
      <c r="F58" s="14" t="s">
        <v>257</v>
      </c>
      <c r="G58" s="14" t="s">
        <v>506</v>
      </c>
      <c r="H58" s="14"/>
      <c r="I58" s="14" t="s">
        <v>584</v>
      </c>
      <c r="J58" s="14" t="s">
        <v>585</v>
      </c>
      <c r="K58" s="14" t="s">
        <v>586</v>
      </c>
      <c r="L58" s="14" t="s">
        <v>587</v>
      </c>
      <c r="M58" s="13" t="s">
        <v>263</v>
      </c>
      <c r="N58" s="14" t="s">
        <v>410</v>
      </c>
      <c r="O58" s="14">
        <f>COUNTIF(Mau_cau!$N$4:$N$300,"*"&amp;C58&amp;"*")</f>
        <v>19</v>
      </c>
    </row>
    <row r="59" spans="1:15" ht="52.8" x14ac:dyDescent="0.3">
      <c r="A59" s="14" t="s">
        <v>453</v>
      </c>
      <c r="B59" s="14" t="s">
        <v>580</v>
      </c>
      <c r="C59" s="13" t="s">
        <v>588</v>
      </c>
      <c r="D59" s="14" t="s">
        <v>589</v>
      </c>
      <c r="E59" s="14" t="s">
        <v>590</v>
      </c>
      <c r="F59" s="14" t="s">
        <v>257</v>
      </c>
      <c r="G59" s="14" t="s">
        <v>506</v>
      </c>
      <c r="H59" s="14"/>
      <c r="I59" s="14" t="s">
        <v>507</v>
      </c>
      <c r="J59" s="14" t="s">
        <v>585</v>
      </c>
      <c r="K59" s="14" t="s">
        <v>591</v>
      </c>
      <c r="L59" s="14" t="s">
        <v>592</v>
      </c>
      <c r="M59" s="13" t="s">
        <v>276</v>
      </c>
      <c r="N59" s="14" t="s">
        <v>410</v>
      </c>
      <c r="O59" s="14">
        <f>COUNTIF(Mau_cau!$N$4:$N$300,"*"&amp;C59&amp;"*")</f>
        <v>5</v>
      </c>
    </row>
    <row r="60" spans="1:15" ht="52.8" x14ac:dyDescent="0.3">
      <c r="A60" s="14" t="s">
        <v>453</v>
      </c>
      <c r="B60" s="14" t="s">
        <v>580</v>
      </c>
      <c r="C60" s="13" t="s">
        <v>593</v>
      </c>
      <c r="D60" s="14" t="s">
        <v>594</v>
      </c>
      <c r="E60" s="14" t="s">
        <v>595</v>
      </c>
      <c r="F60" s="14" t="s">
        <v>257</v>
      </c>
      <c r="G60" s="14" t="s">
        <v>506</v>
      </c>
      <c r="H60" s="14"/>
      <c r="I60" s="14" t="s">
        <v>596</v>
      </c>
      <c r="J60" s="14" t="s">
        <v>585</v>
      </c>
      <c r="K60" s="14" t="s">
        <v>597</v>
      </c>
      <c r="L60" s="14" t="s">
        <v>598</v>
      </c>
      <c r="M60" s="13" t="s">
        <v>276</v>
      </c>
      <c r="N60" s="14" t="s">
        <v>410</v>
      </c>
      <c r="O60" s="14">
        <f>COUNTIF(Mau_cau!$N$4:$N$300,"*"&amp;C60&amp;"*")</f>
        <v>6</v>
      </c>
    </row>
    <row r="61" spans="1:15" ht="66" x14ac:dyDescent="0.3">
      <c r="A61" s="14" t="s">
        <v>453</v>
      </c>
      <c r="B61" s="14" t="s">
        <v>580</v>
      </c>
      <c r="C61" s="13" t="s">
        <v>599</v>
      </c>
      <c r="D61" s="14" t="s">
        <v>600</v>
      </c>
      <c r="E61" s="14" t="s">
        <v>601</v>
      </c>
      <c r="F61" s="14" t="s">
        <v>257</v>
      </c>
      <c r="G61" s="14" t="s">
        <v>506</v>
      </c>
      <c r="H61" s="14"/>
      <c r="I61" s="14" t="s">
        <v>507</v>
      </c>
      <c r="J61" s="14" t="s">
        <v>585</v>
      </c>
      <c r="K61" s="14" t="s">
        <v>602</v>
      </c>
      <c r="L61" s="14" t="s">
        <v>603</v>
      </c>
      <c r="M61" s="13" t="s">
        <v>263</v>
      </c>
      <c r="N61" s="14" t="s">
        <v>410</v>
      </c>
      <c r="O61" s="14">
        <f>COUNTIF(Mau_cau!$N$4:$N$300,"*"&amp;C61&amp;"*")</f>
        <v>2</v>
      </c>
    </row>
    <row r="62" spans="1:15" ht="52.8" x14ac:dyDescent="0.3">
      <c r="A62" s="14" t="s">
        <v>453</v>
      </c>
      <c r="B62" s="14" t="s">
        <v>580</v>
      </c>
      <c r="C62" s="13" t="s">
        <v>604</v>
      </c>
      <c r="D62" s="14" t="s">
        <v>605</v>
      </c>
      <c r="E62" s="14" t="s">
        <v>606</v>
      </c>
      <c r="F62" s="14" t="s">
        <v>325</v>
      </c>
      <c r="G62" s="14" t="s">
        <v>506</v>
      </c>
      <c r="H62" s="14"/>
      <c r="I62" s="14" t="s">
        <v>507</v>
      </c>
      <c r="J62" s="14" t="s">
        <v>585</v>
      </c>
      <c r="K62" s="14" t="s">
        <v>607</v>
      </c>
      <c r="L62" s="14" t="s">
        <v>608</v>
      </c>
      <c r="M62" s="13" t="s">
        <v>276</v>
      </c>
      <c r="N62" s="14" t="s">
        <v>410</v>
      </c>
      <c r="O62" s="14">
        <f>COUNTIF(Mau_cau!$N$4:$N$300,"*"&amp;C62&amp;"*")</f>
        <v>3</v>
      </c>
    </row>
    <row r="63" spans="1:15" ht="105.6" x14ac:dyDescent="0.3">
      <c r="A63" s="14" t="s">
        <v>609</v>
      </c>
      <c r="B63" s="14" t="s">
        <v>610</v>
      </c>
      <c r="C63" s="13" t="s">
        <v>611</v>
      </c>
      <c r="D63" s="14" t="s">
        <v>612</v>
      </c>
      <c r="E63" s="14" t="s">
        <v>613</v>
      </c>
      <c r="F63" s="14" t="s">
        <v>353</v>
      </c>
      <c r="G63" s="14" t="s">
        <v>506</v>
      </c>
      <c r="H63" s="14" t="s">
        <v>478</v>
      </c>
      <c r="I63" s="14" t="s">
        <v>507</v>
      </c>
      <c r="J63" s="14" t="s">
        <v>318</v>
      </c>
      <c r="K63" s="14" t="s">
        <v>614</v>
      </c>
      <c r="L63" s="14" t="s">
        <v>615</v>
      </c>
      <c r="M63" s="13" t="s">
        <v>263</v>
      </c>
      <c r="N63" s="14" t="s">
        <v>410</v>
      </c>
      <c r="O63" s="14">
        <f>COUNTIF(Mau_cau!$N$4:$N$300,"*"&amp;C63&amp;"*")</f>
        <v>1</v>
      </c>
    </row>
    <row r="64" spans="1:15" ht="105.6" x14ac:dyDescent="0.3">
      <c r="A64" s="14" t="s">
        <v>609</v>
      </c>
      <c r="B64" s="14" t="s">
        <v>610</v>
      </c>
      <c r="C64" s="13" t="s">
        <v>616</v>
      </c>
      <c r="D64" s="14" t="s">
        <v>617</v>
      </c>
      <c r="E64" s="14" t="s">
        <v>618</v>
      </c>
      <c r="F64" s="14" t="s">
        <v>353</v>
      </c>
      <c r="G64" s="14" t="s">
        <v>354</v>
      </c>
      <c r="H64" s="14"/>
      <c r="I64" s="14" t="s">
        <v>355</v>
      </c>
      <c r="J64" s="14" t="s">
        <v>318</v>
      </c>
      <c r="K64" s="14" t="s">
        <v>619</v>
      </c>
      <c r="L64" s="14" t="s">
        <v>620</v>
      </c>
      <c r="M64" s="13" t="s">
        <v>276</v>
      </c>
      <c r="N64" s="14" t="s">
        <v>410</v>
      </c>
      <c r="O64" s="14" t="s">
        <v>265</v>
      </c>
    </row>
    <row r="65" spans="1:15" ht="118.8" x14ac:dyDescent="0.3">
      <c r="A65" s="14" t="s">
        <v>609</v>
      </c>
      <c r="B65" s="14" t="s">
        <v>621</v>
      </c>
      <c r="C65" s="13" t="s">
        <v>622</v>
      </c>
      <c r="D65" s="14" t="s">
        <v>623</v>
      </c>
      <c r="E65" s="14" t="s">
        <v>624</v>
      </c>
      <c r="F65" s="14" t="s">
        <v>353</v>
      </c>
      <c r="G65" s="14" t="s">
        <v>506</v>
      </c>
      <c r="H65" s="14" t="s">
        <v>478</v>
      </c>
      <c r="I65" s="14" t="s">
        <v>507</v>
      </c>
      <c r="J65" s="14" t="s">
        <v>318</v>
      </c>
      <c r="K65" s="14" t="s">
        <v>625</v>
      </c>
      <c r="L65" s="14" t="s">
        <v>626</v>
      </c>
      <c r="M65" s="13" t="s">
        <v>263</v>
      </c>
      <c r="N65" s="14" t="s">
        <v>410</v>
      </c>
      <c r="O65" s="14">
        <f>COUNTIF(Mau_cau!$N$4:$N$300,"*"&amp;C65&amp;"*")</f>
        <v>5</v>
      </c>
    </row>
    <row r="66" spans="1:15" ht="92.4" x14ac:dyDescent="0.3">
      <c r="A66" s="14" t="s">
        <v>609</v>
      </c>
      <c r="B66" s="14" t="s">
        <v>621</v>
      </c>
      <c r="C66" s="13" t="s">
        <v>627</v>
      </c>
      <c r="D66" s="14" t="s">
        <v>628</v>
      </c>
      <c r="E66" s="14" t="s">
        <v>629</v>
      </c>
      <c r="F66" s="14" t="s">
        <v>353</v>
      </c>
      <c r="G66" s="14" t="s">
        <v>354</v>
      </c>
      <c r="H66" s="14"/>
      <c r="I66" s="14" t="s">
        <v>355</v>
      </c>
      <c r="J66" s="14" t="s">
        <v>318</v>
      </c>
      <c r="K66" s="14" t="s">
        <v>630</v>
      </c>
      <c r="L66" s="14" t="s">
        <v>631</v>
      </c>
      <c r="M66" s="13" t="s">
        <v>287</v>
      </c>
      <c r="N66" s="14" t="s">
        <v>410</v>
      </c>
      <c r="O66" s="14" t="s">
        <v>265</v>
      </c>
    </row>
    <row r="67" spans="1:15" ht="105.6" x14ac:dyDescent="0.3">
      <c r="A67" s="14" t="s">
        <v>609</v>
      </c>
      <c r="B67" s="14" t="s">
        <v>621</v>
      </c>
      <c r="C67" s="13" t="s">
        <v>632</v>
      </c>
      <c r="D67" s="14" t="s">
        <v>633</v>
      </c>
      <c r="E67" s="14" t="s">
        <v>634</v>
      </c>
      <c r="F67" s="14" t="s">
        <v>353</v>
      </c>
      <c r="G67" s="14" t="s">
        <v>354</v>
      </c>
      <c r="H67" s="14"/>
      <c r="I67" s="14" t="s">
        <v>355</v>
      </c>
      <c r="J67" s="14" t="s">
        <v>318</v>
      </c>
      <c r="K67" s="14" t="s">
        <v>635</v>
      </c>
      <c r="L67" s="14" t="s">
        <v>636</v>
      </c>
      <c r="M67" s="13" t="s">
        <v>276</v>
      </c>
      <c r="N67" s="14" t="s">
        <v>410</v>
      </c>
      <c r="O67" s="14" t="s">
        <v>265</v>
      </c>
    </row>
    <row r="68" spans="1:15" ht="118.8" x14ac:dyDescent="0.3">
      <c r="A68" s="14" t="s">
        <v>637</v>
      </c>
      <c r="B68" s="14" t="s">
        <v>638</v>
      </c>
      <c r="C68" s="13" t="s">
        <v>639</v>
      </c>
      <c r="D68" s="14" t="s">
        <v>640</v>
      </c>
      <c r="E68" s="14" t="s">
        <v>641</v>
      </c>
      <c r="F68" s="14" t="s">
        <v>353</v>
      </c>
      <c r="G68" s="14" t="s">
        <v>506</v>
      </c>
      <c r="H68" s="14"/>
      <c r="I68" s="14" t="s">
        <v>507</v>
      </c>
      <c r="J68" s="14" t="s">
        <v>585</v>
      </c>
      <c r="K68" s="14" t="s">
        <v>642</v>
      </c>
      <c r="L68" s="14" t="s">
        <v>643</v>
      </c>
      <c r="M68" s="13" t="s">
        <v>263</v>
      </c>
      <c r="N68" s="14" t="s">
        <v>410</v>
      </c>
      <c r="O68" s="14">
        <f>COUNTIF(Mau_cau!$N$4:$N$300,"*"&amp;C68&amp;"*")</f>
        <v>21</v>
      </c>
    </row>
    <row r="69" spans="1:15" ht="105.6" x14ac:dyDescent="0.3">
      <c r="A69" s="14" t="s">
        <v>637</v>
      </c>
      <c r="B69" s="14" t="s">
        <v>638</v>
      </c>
      <c r="C69" s="13" t="s">
        <v>644</v>
      </c>
      <c r="D69" s="14" t="s">
        <v>645</v>
      </c>
      <c r="E69" s="14" t="s">
        <v>646</v>
      </c>
      <c r="F69" s="14" t="s">
        <v>353</v>
      </c>
      <c r="G69" s="14" t="s">
        <v>506</v>
      </c>
      <c r="H69" s="14"/>
      <c r="I69" s="14" t="s">
        <v>507</v>
      </c>
      <c r="J69" s="14" t="s">
        <v>585</v>
      </c>
      <c r="K69" s="14" t="s">
        <v>647</v>
      </c>
      <c r="L69" s="14" t="s">
        <v>648</v>
      </c>
      <c r="M69" s="13" t="s">
        <v>263</v>
      </c>
      <c r="N69" s="14" t="s">
        <v>410</v>
      </c>
      <c r="O69" s="14">
        <f>COUNTIF(Mau_cau!$N$4:$N$300,"*"&amp;C69&amp;"*")</f>
        <v>6</v>
      </c>
    </row>
    <row r="70" spans="1:15" ht="66" x14ac:dyDescent="0.3">
      <c r="A70" s="14" t="s">
        <v>637</v>
      </c>
      <c r="B70" s="14" t="s">
        <v>638</v>
      </c>
      <c r="C70" s="13" t="s">
        <v>649</v>
      </c>
      <c r="D70" s="14" t="s">
        <v>650</v>
      </c>
      <c r="E70" s="14" t="s">
        <v>651</v>
      </c>
      <c r="F70" s="14" t="s">
        <v>353</v>
      </c>
      <c r="G70" s="14" t="s">
        <v>506</v>
      </c>
      <c r="H70" s="14"/>
      <c r="I70" s="14" t="s">
        <v>507</v>
      </c>
      <c r="J70" s="14" t="s">
        <v>585</v>
      </c>
      <c r="K70" s="14" t="s">
        <v>652</v>
      </c>
      <c r="L70" s="14" t="s">
        <v>653</v>
      </c>
      <c r="M70" s="13" t="s">
        <v>263</v>
      </c>
      <c r="N70" s="14" t="s">
        <v>410</v>
      </c>
      <c r="O70" s="14">
        <f>COUNTIF(Mau_cau!$N$4:$N$300,"*"&amp;C70&amp;"*")</f>
        <v>4</v>
      </c>
    </row>
    <row r="71" spans="1:15" ht="79.2" x14ac:dyDescent="0.3">
      <c r="A71" s="14" t="s">
        <v>637</v>
      </c>
      <c r="B71" s="14" t="s">
        <v>654</v>
      </c>
      <c r="C71" s="13" t="s">
        <v>655</v>
      </c>
      <c r="D71" s="14" t="s">
        <v>656</v>
      </c>
      <c r="E71" s="14" t="s">
        <v>657</v>
      </c>
      <c r="F71" s="14" t="s">
        <v>353</v>
      </c>
      <c r="G71" s="14" t="s">
        <v>506</v>
      </c>
      <c r="H71" s="14"/>
      <c r="I71" s="14" t="s">
        <v>507</v>
      </c>
      <c r="J71" s="14" t="s">
        <v>585</v>
      </c>
      <c r="K71" s="14" t="s">
        <v>658</v>
      </c>
      <c r="L71" s="14" t="s">
        <v>659</v>
      </c>
      <c r="M71" s="13" t="s">
        <v>276</v>
      </c>
      <c r="N71" s="14" t="s">
        <v>410</v>
      </c>
      <c r="O71" s="14">
        <f>COUNTIF(Mau_cau!$N$4:$N$300,"*"&amp;C71&amp;"*")</f>
        <v>3</v>
      </c>
    </row>
    <row r="72" spans="1:15" ht="92.4" x14ac:dyDescent="0.3">
      <c r="A72" s="14" t="s">
        <v>637</v>
      </c>
      <c r="B72" s="14" t="s">
        <v>654</v>
      </c>
      <c r="C72" s="13" t="s">
        <v>660</v>
      </c>
      <c r="D72" s="14" t="s">
        <v>661</v>
      </c>
      <c r="E72" s="14" t="s">
        <v>662</v>
      </c>
      <c r="F72" s="14" t="s">
        <v>353</v>
      </c>
      <c r="G72" s="14" t="s">
        <v>506</v>
      </c>
      <c r="H72" s="14"/>
      <c r="I72" s="14" t="s">
        <v>507</v>
      </c>
      <c r="J72" s="14" t="s">
        <v>585</v>
      </c>
      <c r="K72" s="14" t="s">
        <v>663</v>
      </c>
      <c r="L72" s="14" t="s">
        <v>664</v>
      </c>
      <c r="M72" s="13" t="s">
        <v>287</v>
      </c>
      <c r="N72" s="14" t="s">
        <v>410</v>
      </c>
      <c r="O72" s="14">
        <f>COUNTIF(Mau_cau!$N$4:$N$300,"*"&amp;C72&amp;"*")</f>
        <v>5</v>
      </c>
    </row>
    <row r="73" spans="1:15" ht="145.19999999999999" x14ac:dyDescent="0.3">
      <c r="A73" s="14" t="s">
        <v>637</v>
      </c>
      <c r="B73" s="14" t="s">
        <v>654</v>
      </c>
      <c r="C73" s="13" t="s">
        <v>665</v>
      </c>
      <c r="D73" s="14" t="s">
        <v>666</v>
      </c>
      <c r="E73" s="14" t="s">
        <v>667</v>
      </c>
      <c r="F73" s="14" t="s">
        <v>353</v>
      </c>
      <c r="G73" s="14" t="s">
        <v>506</v>
      </c>
      <c r="H73" s="14"/>
      <c r="I73" s="14" t="s">
        <v>668</v>
      </c>
      <c r="J73" s="14" t="s">
        <v>585</v>
      </c>
      <c r="K73" s="14" t="s">
        <v>669</v>
      </c>
      <c r="L73" s="14" t="s">
        <v>670</v>
      </c>
      <c r="M73" s="13" t="s">
        <v>263</v>
      </c>
      <c r="N73" s="14" t="s">
        <v>410</v>
      </c>
      <c r="O73" s="14">
        <f>COUNTIF(Mau_cau!$N$4:$N$300,"*"&amp;C73&amp;"*")</f>
        <v>29</v>
      </c>
    </row>
    <row r="74" spans="1:15" ht="92.4" x14ac:dyDescent="0.3">
      <c r="A74" s="14" t="s">
        <v>637</v>
      </c>
      <c r="B74" s="14" t="s">
        <v>671</v>
      </c>
      <c r="C74" s="13" t="s">
        <v>672</v>
      </c>
      <c r="D74" s="14" t="s">
        <v>673</v>
      </c>
      <c r="E74" s="14" t="s">
        <v>674</v>
      </c>
      <c r="F74" s="14" t="s">
        <v>257</v>
      </c>
      <c r="G74" s="14" t="s">
        <v>506</v>
      </c>
      <c r="H74" s="14" t="s">
        <v>335</v>
      </c>
      <c r="I74" s="14" t="s">
        <v>675</v>
      </c>
      <c r="J74" s="14" t="s">
        <v>318</v>
      </c>
      <c r="K74" s="14" t="s">
        <v>676</v>
      </c>
      <c r="L74" s="14" t="s">
        <v>677</v>
      </c>
      <c r="M74" s="13" t="s">
        <v>263</v>
      </c>
      <c r="N74" s="14" t="s">
        <v>410</v>
      </c>
      <c r="O74" s="14">
        <f>COUNTIF(Mau_cau!$N$4:$N$300,"*"&amp;C74&amp;"*")</f>
        <v>8</v>
      </c>
    </row>
  </sheetData>
  <autoFilter ref="A3:O74" xr:uid="{00000000-0009-0000-0000-000003000000}"/>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Chọn giá trị trong danh sách (sheet Tu_vung)." xr:uid="{00000000-0002-0000-0300-000000000000}">
          <x14:formula1>
            <xm:f>Tu_vung!$G$2:$G$9</xm:f>
          </x14:formula1>
          <x14:formula2>
            <xm:f>0</xm:f>
          </x14:formula2>
          <xm:sqref>G4:H74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showGridLines="0" zoomScaleNormal="100" workbookViewId="0">
      <pane ySplit="3" topLeftCell="A4" activePane="bottomLeft" state="frozen"/>
      <selection pane="bottomLeft"/>
    </sheetView>
  </sheetViews>
  <sheetFormatPr defaultColWidth="8.6640625" defaultRowHeight="14.4" x14ac:dyDescent="0.3"/>
  <cols>
    <col min="1" max="1" width="44" customWidth="1"/>
    <col min="2" max="2" width="90" customWidth="1"/>
    <col min="3" max="4" width="16" customWidth="1"/>
  </cols>
  <sheetData>
    <row r="1" spans="1:4" ht="17.399999999999999" x14ac:dyDescent="0.3">
      <c r="A1" s="1" t="s">
        <v>678</v>
      </c>
    </row>
    <row r="2" spans="1:4" x14ac:dyDescent="0.3">
      <c r="A2" s="2" t="s">
        <v>679</v>
      </c>
    </row>
    <row r="3" spans="1:4" ht="26.4" x14ac:dyDescent="0.3">
      <c r="A3" s="11" t="s">
        <v>680</v>
      </c>
      <c r="B3" s="11" t="s">
        <v>681</v>
      </c>
      <c r="C3" s="12" t="s">
        <v>682</v>
      </c>
      <c r="D3" s="12" t="s">
        <v>683</v>
      </c>
    </row>
    <row r="4" spans="1:4" ht="26.4" x14ac:dyDescent="0.3">
      <c r="A4" s="14" t="s">
        <v>506</v>
      </c>
      <c r="B4" s="14" t="s">
        <v>684</v>
      </c>
      <c r="C4" s="13">
        <f>COUNTIF(Yeu_to!$G$4:$G$74,A4)</f>
        <v>15</v>
      </c>
      <c r="D4" s="13">
        <f>COUNTIF(Yeu_to!$H$4:$H$74,A4)</f>
        <v>2</v>
      </c>
    </row>
    <row r="5" spans="1:4" ht="26.4" x14ac:dyDescent="0.3">
      <c r="A5" s="14" t="s">
        <v>326</v>
      </c>
      <c r="B5" s="14" t="s">
        <v>685</v>
      </c>
      <c r="C5" s="13">
        <f>COUNTIF(Yeu_to!$G$4:$G$74,A5)</f>
        <v>11</v>
      </c>
      <c r="D5" s="13">
        <f>COUNTIF(Yeu_to!$H$4:$H$74,A5)</f>
        <v>3</v>
      </c>
    </row>
    <row r="6" spans="1:4" x14ac:dyDescent="0.3">
      <c r="A6" s="14" t="s">
        <v>478</v>
      </c>
      <c r="B6" s="14" t="s">
        <v>686</v>
      </c>
      <c r="C6" s="13">
        <f>COUNTIF(Yeu_to!$G$4:$G$74,A6)</f>
        <v>7</v>
      </c>
      <c r="D6" s="13">
        <f>COUNTIF(Yeu_to!$H$4:$H$74,A6)</f>
        <v>3</v>
      </c>
    </row>
    <row r="7" spans="1:4" x14ac:dyDescent="0.3">
      <c r="A7" s="14" t="s">
        <v>258</v>
      </c>
      <c r="B7" s="14" t="s">
        <v>687</v>
      </c>
      <c r="C7" s="13">
        <f>COUNTIF(Yeu_to!$G$4:$G$74,A7)</f>
        <v>18</v>
      </c>
      <c r="D7" s="13">
        <f>COUNTIF(Yeu_to!$H$4:$H$74,A7)</f>
        <v>2</v>
      </c>
    </row>
    <row r="8" spans="1:4" ht="26.4" x14ac:dyDescent="0.3">
      <c r="A8" s="14" t="s">
        <v>378</v>
      </c>
      <c r="B8" s="14" t="s">
        <v>688</v>
      </c>
      <c r="C8" s="13">
        <f>COUNTIF(Yeu_to!$G$4:$G$74,A8)</f>
        <v>6</v>
      </c>
      <c r="D8" s="13">
        <f>COUNTIF(Yeu_to!$H$4:$H$74,A8)</f>
        <v>1</v>
      </c>
    </row>
    <row r="9" spans="1:4" x14ac:dyDescent="0.3">
      <c r="A9" s="14" t="s">
        <v>335</v>
      </c>
      <c r="B9" s="14" t="s">
        <v>689</v>
      </c>
      <c r="C9" s="13">
        <f>COUNTIF(Yeu_to!$G$4:$G$74,A9)</f>
        <v>1</v>
      </c>
      <c r="D9" s="13">
        <f>COUNTIF(Yeu_to!$H$4:$H$74,A9)</f>
        <v>4</v>
      </c>
    </row>
    <row r="10" spans="1:4" x14ac:dyDescent="0.3">
      <c r="A10" s="14" t="s">
        <v>553</v>
      </c>
      <c r="B10" s="14" t="s">
        <v>690</v>
      </c>
      <c r="C10" s="13">
        <f>COUNTIF(Yeu_to!$G$4:$G$74,A10)</f>
        <v>0</v>
      </c>
      <c r="D10" s="13">
        <f>COUNTIF(Yeu_to!$H$4:$H$74,A10)</f>
        <v>1</v>
      </c>
    </row>
    <row r="11" spans="1:4" ht="26.4" x14ac:dyDescent="0.3">
      <c r="A11" s="14" t="s">
        <v>354</v>
      </c>
      <c r="B11" s="14" t="s">
        <v>691</v>
      </c>
      <c r="C11" s="13">
        <f>COUNTIF(Yeu_to!$G$4:$G$74,A11)</f>
        <v>13</v>
      </c>
      <c r="D11" s="13">
        <f>COUNTIF(Yeu_to!$H$4:$H$74,A11)</f>
        <v>1</v>
      </c>
    </row>
    <row r="12" spans="1:4" x14ac:dyDescent="0.3">
      <c r="A12" s="17" t="s">
        <v>692</v>
      </c>
      <c r="C12" s="17">
        <f>SUM(C4:C11)</f>
        <v>71</v>
      </c>
      <c r="D12" s="17">
        <f>SUM(D4:D11)</f>
        <v>17</v>
      </c>
    </row>
    <row r="13" spans="1:4" x14ac:dyDescent="0.3">
      <c r="A13" s="10" t="s">
        <v>693</v>
      </c>
      <c r="C13" s="10" t="str">
        <f>IF(C12=COUNTA(Yeu_to!$C$4:$C$74),"Khớp","Lệch")</f>
        <v>Khớp</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6640625" defaultRowHeight="14.4" x14ac:dyDescent="0.3"/>
  <cols>
    <col min="1" max="1" width="18" customWidth="1"/>
    <col min="2" max="2" width="26" customWidth="1"/>
    <col min="3" max="3" width="12" customWidth="1"/>
    <col min="4" max="25" width="14" customWidth="1"/>
    <col min="26" max="26" width="12" customWidth="1"/>
    <col min="27" max="27" width="14" customWidth="1"/>
  </cols>
  <sheetData>
    <row r="1" spans="1:27" ht="17.399999999999999" x14ac:dyDescent="0.3">
      <c r="A1" s="1" t="s">
        <v>694</v>
      </c>
    </row>
    <row r="2" spans="1:27" x14ac:dyDescent="0.3">
      <c r="A2" s="2" t="s">
        <v>695</v>
      </c>
    </row>
    <row r="3" spans="1:27" ht="26.4" x14ac:dyDescent="0.3">
      <c r="A3" s="11" t="s">
        <v>696</v>
      </c>
      <c r="B3" s="11" t="s">
        <v>119</v>
      </c>
      <c r="C3" s="11" t="s">
        <v>121</v>
      </c>
      <c r="D3" s="11" t="s">
        <v>672</v>
      </c>
      <c r="E3" s="11" t="s">
        <v>639</v>
      </c>
      <c r="F3" s="11" t="s">
        <v>644</v>
      </c>
      <c r="G3" s="11" t="s">
        <v>655</v>
      </c>
      <c r="H3" s="11" t="s">
        <v>660</v>
      </c>
      <c r="I3" s="11" t="s">
        <v>649</v>
      </c>
      <c r="J3" s="11" t="s">
        <v>665</v>
      </c>
      <c r="K3" s="11" t="s">
        <v>611</v>
      </c>
      <c r="L3" s="11" t="s">
        <v>622</v>
      </c>
      <c r="M3" s="11" t="s">
        <v>493</v>
      </c>
      <c r="N3" s="11" t="s">
        <v>498</v>
      </c>
      <c r="O3" s="11" t="s">
        <v>503</v>
      </c>
      <c r="P3" s="11" t="s">
        <v>510</v>
      </c>
      <c r="Q3" s="11" t="s">
        <v>534</v>
      </c>
      <c r="R3" s="11" t="s">
        <v>581</v>
      </c>
      <c r="S3" s="11" t="s">
        <v>588</v>
      </c>
      <c r="T3" s="11" t="s">
        <v>593</v>
      </c>
      <c r="U3" s="11" t="s">
        <v>599</v>
      </c>
      <c r="V3" s="11" t="s">
        <v>604</v>
      </c>
      <c r="W3" s="11" t="s">
        <v>462</v>
      </c>
      <c r="X3" s="11" t="s">
        <v>305</v>
      </c>
      <c r="Y3" s="11" t="s">
        <v>322</v>
      </c>
      <c r="Z3" s="12" t="s">
        <v>697</v>
      </c>
      <c r="AA3" s="12" t="s">
        <v>698</v>
      </c>
    </row>
    <row r="4" spans="1:27" ht="66" customHeight="1" x14ac:dyDescent="0.3">
      <c r="A4" s="11" t="s">
        <v>699</v>
      </c>
      <c r="B4" s="11"/>
      <c r="C4" s="11"/>
      <c r="D4" s="11" t="str">
        <f>INDEX(Yeu_to!$D$4:$D$74,MATCH(D$3,Yeu_to!$C$4:$C$74,0))</f>
        <v>Thanh điệu dưới nhiễu</v>
      </c>
      <c r="E4" s="11" t="str">
        <f>INDEX(Yeu_to!$D$4:$D$74,MATCH(E$3,Yeu_to!$C$4:$C$74,0))</f>
        <v>Chuẩn hóa số, giờ, ngày, tiền, đơn vị</v>
      </c>
      <c r="F4" s="11" t="str">
        <f>INDEX(Yeu_to!$D$4:$D$74,MATCH(F$3,Yeu_to!$C$4:$C$74,0))</f>
        <v>Tên đường, địa danh, địa chỉ</v>
      </c>
      <c r="G4" s="11" t="str">
        <f>INDEX(Yeu_to!$D$4:$D$74,MATCH(G$3,Yeu_to!$C$4:$C$74,0))</f>
        <v>Từ mượn và chuyển mã Anh–Việt</v>
      </c>
      <c r="H4" s="11" t="str">
        <f>INDEX(Yeu_to!$D$4:$D$74,MATCH(H$3,Yeu_to!$C$4:$C$74,0))</f>
        <v>Xưng hô và từ đệm</v>
      </c>
      <c r="I4" s="11" t="str">
        <f>INDEX(Yeu_to!$D$4:$D$74,MATCH(I$3,Yeu_to!$C$4:$C$74,0))</f>
        <v>Viết tắt và ký hiệu</v>
      </c>
      <c r="J4" s="11" t="str">
        <f>INDEX(Yeu_to!$D$4:$D$74,MATCH(J$3,Yeu_to!$C$4:$C$74,0))</f>
        <v>Độ dài câu và ngắt nghỉ</v>
      </c>
      <c r="K4" s="11" t="str">
        <f>INDEX(Yeu_to!$D$4:$D$74,MATCH(K$3,Yeu_to!$C$4:$C$74,0))</f>
        <v>Tải nhận thức của người lái</v>
      </c>
      <c r="L4" s="11" t="str">
        <f>INDEX(Yeu_to!$D$4:$D$74,MATCH(L$3,Yeu_to!$C$4:$C$74,0))</f>
        <v>Mức khẩn cấp</v>
      </c>
      <c r="M4" s="11" t="str">
        <f>INDEX(Yeu_to!$D$4:$D$74,MATCH(M$3,Yeu_to!$C$4:$C$74,0))</f>
        <v>Cảm xúc</v>
      </c>
      <c r="N4" s="11" t="str">
        <f>INDEX(Yeu_to!$D$4:$D$74,MATCH(N$3,Yeu_to!$C$4:$C$74,0))</f>
        <v>Mệt mỏi, buồn ngủ</v>
      </c>
      <c r="O4" s="11" t="str">
        <f>INDEX(Yeu_to!$D$4:$D$74,MATCH(O$3,Yeu_to!$C$4:$C$74,0))</f>
        <v>Căng thẳng, vội, tải nhận thức cao</v>
      </c>
      <c r="P4" s="11" t="str">
        <f>INDEX(Yeu_to!$D$4:$D$74,MATCH(P$3,Yeu_to!$C$4:$C$74,0))</f>
        <v>Hiệu ứng Lombard</v>
      </c>
      <c r="Q4" s="11" t="str">
        <f>INDEX(Yeu_to!$D$4:$D$74,MATCH(Q$3,Yeu_to!$C$4:$C$74,0))</f>
        <v>Cao độ và ngữ điệu</v>
      </c>
      <c r="R4" s="11" t="str">
        <f>INDEX(Yeu_to!$D$4:$D$74,MATCH(R$3,Yeu_to!$C$4:$C$74,0))</f>
        <v>Từ vựng theo vùng</v>
      </c>
      <c r="S4" s="11" t="str">
        <f>INDEX(Yeu_to!$D$4:$D$74,MATCH(S$3,Yeu_to!$C$4:$C$74,0))</f>
        <v>Xưng hô và từ đệm theo vùng</v>
      </c>
      <c r="T4" s="11" t="str">
        <f>INDEX(Yeu_to!$D$4:$D$74,MATCH(T$3,Yeu_to!$C$4:$C$74,0))</f>
        <v>Cách đọc số và tiền theo vùng</v>
      </c>
      <c r="U4" s="11" t="str">
        <f>INDEX(Yeu_to!$D$4:$D$74,MATCH(U$3,Yeu_to!$C$4:$C$74,0))</f>
        <v>Cách gọi tên đường, địa danh theo thói quen</v>
      </c>
      <c r="V4" s="11" t="str">
        <f>INDEX(Yeu_to!$D$4:$D$74,MATCH(V$3,Yeu_to!$C$4:$C$74,0))</f>
        <v>Chuyển mã Anh–Việt và nói tắt</v>
      </c>
      <c r="W4" s="11" t="str">
        <f>INDEX(Yeu_to!$D$4:$D$74,MATCH(W$3,Yeu_to!$C$4:$C$74,0))</f>
        <v>Nhóm tuổi</v>
      </c>
      <c r="X4" s="11" t="str">
        <f>INDEX(Yeu_to!$D$4:$D$74,MATCH(X$3,Yeu_to!$C$4:$C$74,0))</f>
        <v>Nhạc hoặc radio đang phát</v>
      </c>
      <c r="Y4" s="11" t="str">
        <f>INDEX(Yeu_to!$D$4:$D$74,MATCH(Y$3,Yeu_to!$C$4:$C$74,0))</f>
        <v>Người khác nói chồng lên lệnh người dùng</v>
      </c>
      <c r="Z4" s="12"/>
      <c r="AA4" s="12"/>
    </row>
    <row r="5" spans="1:27" ht="66" customHeight="1" x14ac:dyDescent="0.3">
      <c r="A5" s="11" t="s">
        <v>243</v>
      </c>
      <c r="B5" s="11"/>
      <c r="C5" s="11"/>
      <c r="D5" s="11" t="str">
        <f>INDEX(Yeu_to!$G$4:$G$74,MATCH(D$3,Yeu_to!$C$4:$C$74,0))</f>
        <v>1. Thiết kế câu (văn bản)</v>
      </c>
      <c r="E5" s="11" t="str">
        <f>INDEX(Yeu_to!$G$4:$G$74,MATCH(E$3,Yeu_to!$C$4:$C$74,0))</f>
        <v>1. Thiết kế câu (văn bản)</v>
      </c>
      <c r="F5" s="11" t="str">
        <f>INDEX(Yeu_to!$G$4:$G$74,MATCH(F$3,Yeu_to!$C$4:$C$74,0))</f>
        <v>1. Thiết kế câu (văn bản)</v>
      </c>
      <c r="G5" s="11" t="str">
        <f>INDEX(Yeu_to!$G$4:$G$74,MATCH(G$3,Yeu_to!$C$4:$C$74,0))</f>
        <v>1. Thiết kế câu (văn bản)</v>
      </c>
      <c r="H5" s="11" t="str">
        <f>INDEX(Yeu_to!$G$4:$G$74,MATCH(H$3,Yeu_to!$C$4:$C$74,0))</f>
        <v>1. Thiết kế câu (văn bản)</v>
      </c>
      <c r="I5" s="11" t="str">
        <f>INDEX(Yeu_to!$G$4:$G$74,MATCH(I$3,Yeu_to!$C$4:$C$74,0))</f>
        <v>1. Thiết kế câu (văn bản)</v>
      </c>
      <c r="J5" s="11" t="str">
        <f>INDEX(Yeu_to!$G$4:$G$74,MATCH(J$3,Yeu_to!$C$4:$C$74,0))</f>
        <v>1. Thiết kế câu (văn bản)</v>
      </c>
      <c r="K5" s="11" t="str">
        <f>INDEX(Yeu_to!$G$4:$G$74,MATCH(K$3,Yeu_to!$C$4:$C$74,0))</f>
        <v>1. Thiết kế câu (văn bản)</v>
      </c>
      <c r="L5" s="11" t="str">
        <f>INDEX(Yeu_to!$G$4:$G$74,MATCH(L$3,Yeu_to!$C$4:$C$74,0))</f>
        <v>1. Thiết kế câu (văn bản)</v>
      </c>
      <c r="M5" s="11" t="str">
        <f>INDEX(Yeu_to!$G$4:$G$74,MATCH(M$3,Yeu_to!$C$4:$C$74,0))</f>
        <v>3. Điều khiển khi sinh TTS</v>
      </c>
      <c r="N5" s="11" t="str">
        <f>INDEX(Yeu_to!$G$4:$G$74,MATCH(N$3,Yeu_to!$C$4:$C$74,0))</f>
        <v>3. Điều khiển khi sinh TTS</v>
      </c>
      <c r="O5" s="11" t="str">
        <f>INDEX(Yeu_to!$G$4:$G$74,MATCH(O$3,Yeu_to!$C$4:$C$74,0))</f>
        <v>1. Thiết kế câu (văn bản)</v>
      </c>
      <c r="P5" s="11" t="str">
        <f>INDEX(Yeu_to!$G$4:$G$74,MATCH(P$3,Yeu_to!$C$4:$C$74,0))</f>
        <v>3. Điều khiển khi sinh TTS</v>
      </c>
      <c r="Q5" s="11" t="str">
        <f>INDEX(Yeu_to!$G$4:$G$74,MATCH(Q$3,Yeu_to!$C$4:$C$74,0))</f>
        <v>3. Điều khiển khi sinh TTS</v>
      </c>
      <c r="R5" s="11" t="str">
        <f>INDEX(Yeu_to!$G$4:$G$74,MATCH(R$3,Yeu_to!$C$4:$C$74,0))</f>
        <v>1. Thiết kế câu (văn bản)</v>
      </c>
      <c r="S5" s="11" t="str">
        <f>INDEX(Yeu_to!$G$4:$G$74,MATCH(S$3,Yeu_to!$C$4:$C$74,0))</f>
        <v>1. Thiết kế câu (văn bản)</v>
      </c>
      <c r="T5" s="11" t="str">
        <f>INDEX(Yeu_to!$G$4:$G$74,MATCH(T$3,Yeu_to!$C$4:$C$74,0))</f>
        <v>1. Thiết kế câu (văn bản)</v>
      </c>
      <c r="U5" s="11" t="str">
        <f>INDEX(Yeu_to!$G$4:$G$74,MATCH(U$3,Yeu_to!$C$4:$C$74,0))</f>
        <v>1. Thiết kế câu (văn bản)</v>
      </c>
      <c r="V5" s="11" t="str">
        <f>INDEX(Yeu_to!$G$4:$G$74,MATCH(V$3,Yeu_to!$C$4:$C$74,0))</f>
        <v>1. Thiết kế câu (văn bản)</v>
      </c>
      <c r="W5" s="11" t="str">
        <f>INDEX(Yeu_to!$G$4:$G$74,MATCH(W$3,Yeu_to!$C$4:$C$74,0))</f>
        <v>2. Chọn giọng và đoạn tham chiếu</v>
      </c>
      <c r="X5" s="11" t="str">
        <f>INDEX(Yeu_to!$G$4:$G$74,MATCH(X$3,Yeu_to!$C$4:$C$74,0))</f>
        <v>4. Trộn nhiễu và mô phỏng khoang xe (sau TTS)</v>
      </c>
      <c r="Y5" s="11" t="str">
        <f>INDEX(Yeu_to!$G$4:$G$74,MATCH(Y$3,Yeu_to!$C$4:$C$74,0))</f>
        <v>4. Trộn nhiễu và mô phỏng khoang xe (sau TTS)</v>
      </c>
      <c r="Z5" s="12"/>
      <c r="AA5" s="12"/>
    </row>
    <row r="6" spans="1:27" x14ac:dyDescent="0.3">
      <c r="A6" s="14" t="s">
        <v>132</v>
      </c>
      <c r="B6" s="14" t="str">
        <f>INDEX(Case_study!$B$4:$B$15,MATCH(A6,Case_study!$A$4:$A$15,0))</f>
        <v>Dẫn đường</v>
      </c>
      <c r="C6" s="14" t="str">
        <f>INDEX(Case_study!$D$4:$D$15,MATCH(A6,Case_study!$A$4:$A$15,0))</f>
        <v>M1</v>
      </c>
      <c r="D6" s="13"/>
      <c r="E6" s="13" t="s">
        <v>700</v>
      </c>
      <c r="F6" s="13" t="s">
        <v>700</v>
      </c>
      <c r="G6" s="13" t="s">
        <v>701</v>
      </c>
      <c r="H6" s="13"/>
      <c r="I6" s="13" t="s">
        <v>701</v>
      </c>
      <c r="J6" s="13" t="s">
        <v>701</v>
      </c>
      <c r="K6" s="13" t="s">
        <v>700</v>
      </c>
      <c r="L6" s="13"/>
      <c r="M6" s="13"/>
      <c r="N6" s="13"/>
      <c r="O6" s="13" t="s">
        <v>701</v>
      </c>
      <c r="P6" s="13"/>
      <c r="Q6" s="13" t="s">
        <v>701</v>
      </c>
      <c r="R6" s="13" t="s">
        <v>700</v>
      </c>
      <c r="S6" s="13"/>
      <c r="T6" s="13" t="s">
        <v>701</v>
      </c>
      <c r="U6" s="13" t="s">
        <v>700</v>
      </c>
      <c r="V6" s="13"/>
      <c r="W6" s="13"/>
      <c r="X6" s="13"/>
      <c r="Y6" s="13"/>
      <c r="Z6" s="13">
        <f t="shared" ref="Z6:Z17" si="0">COUNTIF(D6:Y6,"●")</f>
        <v>5</v>
      </c>
      <c r="AA6" s="13">
        <f>COUNTIFS(Mau_cau!$C$4:$C$300,A6,Mau_cau!$B$4:$B$300,"&lt;&gt;M4")</f>
        <v>8</v>
      </c>
    </row>
    <row r="7" spans="1:27" x14ac:dyDescent="0.3">
      <c r="A7" s="14" t="s">
        <v>140</v>
      </c>
      <c r="B7" s="14" t="str">
        <f>INDEX(Case_study!$B$4:$B$15,MATCH(A7,Case_study!$A$4:$A$15,0))</f>
        <v>Cảnh báo an toàn (ADAS)</v>
      </c>
      <c r="C7" s="14" t="str">
        <f>INDEX(Case_study!$D$4:$D$15,MATCH(A7,Case_study!$A$4:$A$15,0))</f>
        <v>M5</v>
      </c>
      <c r="D7" s="13"/>
      <c r="E7" s="13"/>
      <c r="F7" s="13"/>
      <c r="G7" s="13"/>
      <c r="H7" s="13"/>
      <c r="I7" s="13"/>
      <c r="J7" s="13" t="s">
        <v>700</v>
      </c>
      <c r="K7" s="13" t="s">
        <v>700</v>
      </c>
      <c r="L7" s="13" t="s">
        <v>700</v>
      </c>
      <c r="M7" s="13" t="s">
        <v>700</v>
      </c>
      <c r="N7" s="13" t="s">
        <v>701</v>
      </c>
      <c r="O7" s="13" t="s">
        <v>700</v>
      </c>
      <c r="P7" s="13"/>
      <c r="Q7" s="13"/>
      <c r="R7" s="13"/>
      <c r="S7" s="13"/>
      <c r="T7" s="13"/>
      <c r="U7" s="13"/>
      <c r="V7" s="13"/>
      <c r="W7" s="13"/>
      <c r="X7" s="13"/>
      <c r="Y7" s="13"/>
      <c r="Z7" s="13">
        <f t="shared" si="0"/>
        <v>5</v>
      </c>
      <c r="AA7" s="13">
        <f>COUNTIFS(Mau_cau!$C$4:$C$300,A7,Mau_cau!$B$4:$B$300,"&lt;&gt;M4")</f>
        <v>2</v>
      </c>
    </row>
    <row r="8" spans="1:27" x14ac:dyDescent="0.3">
      <c r="A8" s="14" t="s">
        <v>150</v>
      </c>
      <c r="B8" s="14" t="str">
        <f>INDEX(Case_study!$B$4:$B$15,MATCH(A8,Case_study!$A$4:$A$15,0))</f>
        <v>Điều khiển xe</v>
      </c>
      <c r="C8" s="14" t="str">
        <f>INDEX(Case_study!$D$4:$D$15,MATCH(A8,Case_study!$A$4:$A$15,0))</f>
        <v>M1</v>
      </c>
      <c r="D8" s="13" t="s">
        <v>700</v>
      </c>
      <c r="E8" s="13" t="s">
        <v>700</v>
      </c>
      <c r="F8" s="13"/>
      <c r="G8" s="13" t="s">
        <v>701</v>
      </c>
      <c r="H8" s="13" t="s">
        <v>701</v>
      </c>
      <c r="I8" s="13"/>
      <c r="J8" s="13" t="s">
        <v>701</v>
      </c>
      <c r="K8" s="13"/>
      <c r="L8" s="13"/>
      <c r="M8" s="13"/>
      <c r="N8" s="13"/>
      <c r="O8" s="13"/>
      <c r="P8" s="13"/>
      <c r="Q8" s="13"/>
      <c r="R8" s="13" t="s">
        <v>700</v>
      </c>
      <c r="S8" s="13" t="s">
        <v>701</v>
      </c>
      <c r="T8" s="13"/>
      <c r="U8" s="13"/>
      <c r="V8" s="13" t="s">
        <v>700</v>
      </c>
      <c r="W8" s="13"/>
      <c r="X8" s="13"/>
      <c r="Y8" s="13" t="s">
        <v>701</v>
      </c>
      <c r="Z8" s="13">
        <f t="shared" si="0"/>
        <v>4</v>
      </c>
      <c r="AA8" s="13">
        <f>COUNTIFS(Mau_cau!$C$4:$C$300,A8,Mau_cau!$B$4:$B$300,"&lt;&gt;M4")</f>
        <v>9</v>
      </c>
    </row>
    <row r="9" spans="1:27" x14ac:dyDescent="0.3">
      <c r="A9" s="14" t="s">
        <v>159</v>
      </c>
      <c r="B9" s="14" t="str">
        <f>INDEX(Case_study!$B$4:$B$15,MATCH(A9,Case_study!$A$4:$A$15,0))</f>
        <v>Giải trí (nhạc, radio)</v>
      </c>
      <c r="C9" s="14" t="str">
        <f>INDEX(Case_study!$D$4:$D$15,MATCH(A9,Case_study!$A$4:$A$15,0))</f>
        <v>M1</v>
      </c>
      <c r="D9" s="13"/>
      <c r="E9" s="13" t="s">
        <v>701</v>
      </c>
      <c r="F9" s="13"/>
      <c r="G9" s="13" t="s">
        <v>700</v>
      </c>
      <c r="H9" s="13"/>
      <c r="I9" s="13" t="s">
        <v>701</v>
      </c>
      <c r="J9" s="13"/>
      <c r="K9" s="13"/>
      <c r="L9" s="13"/>
      <c r="M9" s="13"/>
      <c r="N9" s="13"/>
      <c r="O9" s="13"/>
      <c r="P9" s="13"/>
      <c r="Q9" s="13" t="s">
        <v>701</v>
      </c>
      <c r="R9" s="13"/>
      <c r="S9" s="13"/>
      <c r="T9" s="13"/>
      <c r="U9" s="13"/>
      <c r="V9" s="13" t="s">
        <v>700</v>
      </c>
      <c r="W9" s="13"/>
      <c r="X9" s="13" t="s">
        <v>700</v>
      </c>
      <c r="Y9" s="13" t="s">
        <v>701</v>
      </c>
      <c r="Z9" s="13">
        <f t="shared" si="0"/>
        <v>3</v>
      </c>
      <c r="AA9" s="13">
        <f>COUNTIFS(Mau_cau!$C$4:$C$300,A9,Mau_cau!$B$4:$B$300,"&lt;&gt;M4")</f>
        <v>5</v>
      </c>
    </row>
    <row r="10" spans="1:27" x14ac:dyDescent="0.3">
      <c r="A10" s="14" t="s">
        <v>167</v>
      </c>
      <c r="B10" s="14" t="str">
        <f>INDEX(Case_study!$B$4:$B$15,MATCH(A10,Case_study!$A$4:$A$15,0))</f>
        <v>Điện thoại và tin nhắn</v>
      </c>
      <c r="C10" s="14" t="str">
        <f>INDEX(Case_study!$D$4:$D$15,MATCH(A10,Case_study!$A$4:$A$15,0))</f>
        <v>M1</v>
      </c>
      <c r="D10" s="13"/>
      <c r="E10" s="13" t="s">
        <v>700</v>
      </c>
      <c r="F10" s="13" t="s">
        <v>701</v>
      </c>
      <c r="G10" s="13"/>
      <c r="H10" s="13" t="s">
        <v>700</v>
      </c>
      <c r="I10" s="13"/>
      <c r="J10" s="13"/>
      <c r="K10" s="13"/>
      <c r="L10" s="13"/>
      <c r="M10" s="13"/>
      <c r="N10" s="13"/>
      <c r="O10" s="13"/>
      <c r="P10" s="13"/>
      <c r="Q10" s="13"/>
      <c r="R10" s="13"/>
      <c r="S10" s="13" t="s">
        <v>700</v>
      </c>
      <c r="T10" s="13" t="s">
        <v>700</v>
      </c>
      <c r="U10" s="13"/>
      <c r="V10" s="13"/>
      <c r="W10" s="13"/>
      <c r="X10" s="13"/>
      <c r="Y10" s="13" t="s">
        <v>700</v>
      </c>
      <c r="Z10" s="13">
        <f t="shared" si="0"/>
        <v>5</v>
      </c>
      <c r="AA10" s="13">
        <f>COUNTIFS(Mau_cau!$C$4:$C$300,A10,Mau_cau!$B$4:$B$300,"&lt;&gt;M4")</f>
        <v>6</v>
      </c>
    </row>
    <row r="11" spans="1:27" x14ac:dyDescent="0.3">
      <c r="A11" s="14" t="s">
        <v>175</v>
      </c>
      <c r="B11" s="14" t="str">
        <f>INDEX(Case_study!$B$4:$B$15,MATCH(A11,Case_study!$A$4:$A$15,0))</f>
        <v>Trạng thái xe và bảo dưỡng</v>
      </c>
      <c r="C11" s="14" t="str">
        <f>INDEX(Case_study!$D$4:$D$15,MATCH(A11,Case_study!$A$4:$A$15,0))</f>
        <v>M1</v>
      </c>
      <c r="D11" s="13"/>
      <c r="E11" s="13" t="s">
        <v>700</v>
      </c>
      <c r="F11" s="13"/>
      <c r="G11" s="13"/>
      <c r="H11" s="13"/>
      <c r="I11" s="13" t="s">
        <v>700</v>
      </c>
      <c r="J11" s="13" t="s">
        <v>701</v>
      </c>
      <c r="K11" s="13" t="s">
        <v>701</v>
      </c>
      <c r="L11" s="13"/>
      <c r="M11" s="13"/>
      <c r="N11" s="13"/>
      <c r="O11" s="13"/>
      <c r="P11" s="13"/>
      <c r="Q11" s="13"/>
      <c r="R11" s="13"/>
      <c r="S11" s="13"/>
      <c r="T11" s="13"/>
      <c r="U11" s="13"/>
      <c r="V11" s="13"/>
      <c r="W11" s="13"/>
      <c r="X11" s="13"/>
      <c r="Y11" s="13"/>
      <c r="Z11" s="13">
        <f t="shared" si="0"/>
        <v>2</v>
      </c>
      <c r="AA11" s="13">
        <f>COUNTIFS(Mau_cau!$C$4:$C$300,A11,Mau_cau!$B$4:$B$300,"&lt;&gt;M4")</f>
        <v>3</v>
      </c>
    </row>
    <row r="12" spans="1:27" x14ac:dyDescent="0.3">
      <c r="A12" s="14" t="s">
        <v>184</v>
      </c>
      <c r="B12" s="14" t="str">
        <f>INDEX(Case_study!$B$4:$B$15,MATCH(A12,Case_study!$A$4:$A$15,0))</f>
        <v>Sạc xe điện và trạm nhiên liệu</v>
      </c>
      <c r="C12" s="14" t="str">
        <f>INDEX(Case_study!$D$4:$D$15,MATCH(A12,Case_study!$A$4:$A$15,0))</f>
        <v>M1</v>
      </c>
      <c r="D12" s="13"/>
      <c r="E12" s="13" t="s">
        <v>700</v>
      </c>
      <c r="F12" s="13"/>
      <c r="G12" s="13"/>
      <c r="H12" s="13"/>
      <c r="I12" s="13" t="s">
        <v>700</v>
      </c>
      <c r="J12" s="13" t="s">
        <v>701</v>
      </c>
      <c r="K12" s="13"/>
      <c r="L12" s="13"/>
      <c r="M12" s="13"/>
      <c r="N12" s="13"/>
      <c r="O12" s="13"/>
      <c r="P12" s="13"/>
      <c r="Q12" s="13"/>
      <c r="R12" s="13"/>
      <c r="S12" s="13"/>
      <c r="T12" s="13" t="s">
        <v>700</v>
      </c>
      <c r="U12" s="13"/>
      <c r="V12" s="13"/>
      <c r="W12" s="13"/>
      <c r="X12" s="13"/>
      <c r="Y12" s="13"/>
      <c r="Z12" s="13">
        <f t="shared" si="0"/>
        <v>3</v>
      </c>
      <c r="AA12" s="13">
        <f>COUNTIFS(Mau_cau!$C$4:$C$300,A12,Mau_cau!$B$4:$B$300,"&lt;&gt;M4")</f>
        <v>4</v>
      </c>
    </row>
    <row r="13" spans="1:27" x14ac:dyDescent="0.3">
      <c r="A13" s="14" t="s">
        <v>192</v>
      </c>
      <c r="B13" s="14" t="str">
        <f>INDEX(Case_study!$B$4:$B$15,MATCH(A13,Case_study!$A$4:$A$15,0))</f>
        <v>Giao thông và thời tiết</v>
      </c>
      <c r="C13" s="14" t="str">
        <f>INDEX(Case_study!$D$4:$D$15,MATCH(A13,Case_study!$A$4:$A$15,0))</f>
        <v>M1</v>
      </c>
      <c r="D13" s="13"/>
      <c r="E13" s="13" t="s">
        <v>700</v>
      </c>
      <c r="F13" s="13" t="s">
        <v>700</v>
      </c>
      <c r="G13" s="13"/>
      <c r="H13" s="13"/>
      <c r="I13" s="13"/>
      <c r="J13" s="13" t="s">
        <v>701</v>
      </c>
      <c r="K13" s="13" t="s">
        <v>701</v>
      </c>
      <c r="L13" s="13"/>
      <c r="M13" s="13"/>
      <c r="N13" s="13"/>
      <c r="O13" s="13"/>
      <c r="P13" s="13"/>
      <c r="Q13" s="13"/>
      <c r="R13" s="13" t="s">
        <v>701</v>
      </c>
      <c r="S13" s="13"/>
      <c r="T13" s="13"/>
      <c r="U13" s="13"/>
      <c r="V13" s="13"/>
      <c r="W13" s="13"/>
      <c r="X13" s="13"/>
      <c r="Y13" s="13"/>
      <c r="Z13" s="13">
        <f t="shared" si="0"/>
        <v>2</v>
      </c>
      <c r="AA13" s="13">
        <f>COUNTIFS(Mau_cau!$C$4:$C$300,A13,Mau_cau!$B$4:$B$300,"&lt;&gt;M4")</f>
        <v>4</v>
      </c>
    </row>
    <row r="14" spans="1:27" x14ac:dyDescent="0.3">
      <c r="A14" s="14" t="s">
        <v>200</v>
      </c>
      <c r="B14" s="14" t="str">
        <f>INDEX(Case_study!$B$4:$B$15,MATCH(A14,Case_study!$A$4:$A$15,0))</f>
        <v>Khẩn cấp và cứu hộ</v>
      </c>
      <c r="C14" s="14" t="str">
        <f>INDEX(Case_study!$D$4:$D$15,MATCH(A14,Case_study!$A$4:$A$15,0))</f>
        <v>M1</v>
      </c>
      <c r="D14" s="13"/>
      <c r="E14" s="13"/>
      <c r="F14" s="13"/>
      <c r="G14" s="13"/>
      <c r="H14" s="13"/>
      <c r="I14" s="13"/>
      <c r="J14" s="13" t="s">
        <v>700</v>
      </c>
      <c r="K14" s="13" t="s">
        <v>700</v>
      </c>
      <c r="L14" s="13" t="s">
        <v>700</v>
      </c>
      <c r="M14" s="13" t="s">
        <v>700</v>
      </c>
      <c r="N14" s="13" t="s">
        <v>701</v>
      </c>
      <c r="O14" s="13" t="s">
        <v>700</v>
      </c>
      <c r="P14" s="13" t="s">
        <v>700</v>
      </c>
      <c r="Q14" s="13"/>
      <c r="R14" s="13"/>
      <c r="S14" s="13"/>
      <c r="T14" s="13"/>
      <c r="U14" s="13"/>
      <c r="V14" s="13"/>
      <c r="W14" s="13"/>
      <c r="X14" s="13"/>
      <c r="Y14" s="13"/>
      <c r="Z14" s="13">
        <f t="shared" si="0"/>
        <v>6</v>
      </c>
      <c r="AA14" s="13">
        <f>COUNTIFS(Mau_cau!$C$4:$C$300,A14,Mau_cau!$B$4:$B$300,"&lt;&gt;M4")</f>
        <v>4</v>
      </c>
    </row>
    <row r="15" spans="1:27" x14ac:dyDescent="0.3">
      <c r="A15" s="14" t="s">
        <v>209</v>
      </c>
      <c r="B15" s="14" t="str">
        <f>INDEX(Case_study!$B$4:$B$15,MATCH(A15,Case_study!$A$4:$A$15,0))</f>
        <v>Hội thoại và gợi ý chủ động</v>
      </c>
      <c r="C15" s="14" t="str">
        <f>INDEX(Case_study!$D$4:$D$15,MATCH(A15,Case_study!$A$4:$A$15,0))</f>
        <v>M1</v>
      </c>
      <c r="D15" s="13"/>
      <c r="E15" s="13" t="s">
        <v>701</v>
      </c>
      <c r="F15" s="13"/>
      <c r="G15" s="13" t="s">
        <v>700</v>
      </c>
      <c r="H15" s="13" t="s">
        <v>701</v>
      </c>
      <c r="I15" s="13"/>
      <c r="J15" s="13" t="s">
        <v>700</v>
      </c>
      <c r="K15" s="13"/>
      <c r="L15" s="13"/>
      <c r="M15" s="13"/>
      <c r="N15" s="13"/>
      <c r="O15" s="13" t="s">
        <v>701</v>
      </c>
      <c r="P15" s="13"/>
      <c r="Q15" s="13" t="s">
        <v>700</v>
      </c>
      <c r="R15" s="13"/>
      <c r="S15" s="13"/>
      <c r="T15" s="13"/>
      <c r="U15" s="13"/>
      <c r="V15" s="13" t="s">
        <v>700</v>
      </c>
      <c r="W15" s="13"/>
      <c r="X15" s="13"/>
      <c r="Y15" s="13"/>
      <c r="Z15" s="13">
        <f t="shared" si="0"/>
        <v>4</v>
      </c>
      <c r="AA15" s="13">
        <f>COUNTIFS(Mau_cau!$C$4:$C$300,A15,Mau_cau!$B$4:$B$300,"&lt;&gt;M4")</f>
        <v>5</v>
      </c>
    </row>
    <row r="16" spans="1:27" x14ac:dyDescent="0.3">
      <c r="A16" s="14" t="s">
        <v>217</v>
      </c>
      <c r="B16" s="14" t="str">
        <f>INDEX(Case_study!$B$4:$B$15,MATCH(A16,Case_study!$A$4:$A$15,0))</f>
        <v>Hành khách và trẻ em</v>
      </c>
      <c r="C16" s="14" t="str">
        <f>INDEX(Case_study!$D$4:$D$15,MATCH(A16,Case_study!$A$4:$A$15,0))</f>
        <v>M1</v>
      </c>
      <c r="D16" s="13"/>
      <c r="E16" s="13"/>
      <c r="F16" s="13"/>
      <c r="G16" s="13"/>
      <c r="H16" s="13" t="s">
        <v>701</v>
      </c>
      <c r="I16" s="13"/>
      <c r="J16" s="13"/>
      <c r="K16" s="13"/>
      <c r="L16" s="13"/>
      <c r="M16" s="13" t="s">
        <v>701</v>
      </c>
      <c r="N16" s="13"/>
      <c r="O16" s="13"/>
      <c r="P16" s="13"/>
      <c r="Q16" s="13"/>
      <c r="R16" s="13"/>
      <c r="S16" s="13"/>
      <c r="T16" s="13"/>
      <c r="U16" s="13"/>
      <c r="V16" s="13"/>
      <c r="W16" s="13" t="s">
        <v>700</v>
      </c>
      <c r="X16" s="13"/>
      <c r="Y16" s="13" t="s">
        <v>700</v>
      </c>
      <c r="Z16" s="13">
        <f t="shared" si="0"/>
        <v>2</v>
      </c>
      <c r="AA16" s="13">
        <f>COUNTIFS(Mau_cau!$C$4:$C$300,A16,Mau_cau!$B$4:$B$300,"&lt;&gt;M4")</f>
        <v>3</v>
      </c>
    </row>
    <row r="17" spans="1:27" x14ac:dyDescent="0.3">
      <c r="A17" s="14" t="s">
        <v>226</v>
      </c>
      <c r="B17" s="14" t="str">
        <f>INDEX(Case_study!$B$4:$B$15,MATCH(A17,Case_study!$A$4:$A$15,0))</f>
        <v>Lỗi, làm rõ và ngoại tuyến</v>
      </c>
      <c r="C17" s="14" t="str">
        <f>INDEX(Case_study!$D$4:$D$15,MATCH(A17,Case_study!$A$4:$A$15,0))</f>
        <v>M2</v>
      </c>
      <c r="D17" s="13"/>
      <c r="E17" s="13"/>
      <c r="F17" s="13"/>
      <c r="G17" s="13"/>
      <c r="H17" s="13" t="s">
        <v>700</v>
      </c>
      <c r="I17" s="13"/>
      <c r="J17" s="13" t="s">
        <v>700</v>
      </c>
      <c r="K17" s="13"/>
      <c r="L17" s="13"/>
      <c r="M17" s="13"/>
      <c r="N17" s="13"/>
      <c r="O17" s="13" t="s">
        <v>700</v>
      </c>
      <c r="P17" s="13"/>
      <c r="Q17" s="13" t="s">
        <v>700</v>
      </c>
      <c r="R17" s="13" t="s">
        <v>701</v>
      </c>
      <c r="S17" s="13"/>
      <c r="T17" s="13"/>
      <c r="U17" s="13"/>
      <c r="V17" s="13"/>
      <c r="W17" s="13"/>
      <c r="X17" s="13"/>
      <c r="Y17" s="13"/>
      <c r="Z17" s="13">
        <f t="shared" si="0"/>
        <v>4</v>
      </c>
      <c r="AA17" s="13">
        <f>COUNTIFS(Mau_cau!$C$4:$C$300,A17,Mau_cau!$B$4:$B$300,"&lt;&gt;M4")</f>
        <v>12</v>
      </c>
    </row>
    <row r="19" spans="1:27" x14ac:dyDescent="0.3">
      <c r="A19" s="18" t="s">
        <v>702</v>
      </c>
      <c r="B19" s="14"/>
      <c r="C19" s="14"/>
      <c r="D19" s="13">
        <f t="shared" ref="D19:Y19" si="1">COUNTIF(D6:D17,"●")</f>
        <v>1</v>
      </c>
      <c r="E19" s="13">
        <f t="shared" si="1"/>
        <v>6</v>
      </c>
      <c r="F19" s="13">
        <f t="shared" si="1"/>
        <v>2</v>
      </c>
      <c r="G19" s="13">
        <f t="shared" si="1"/>
        <v>2</v>
      </c>
      <c r="H19" s="13">
        <f t="shared" si="1"/>
        <v>2</v>
      </c>
      <c r="I19" s="13">
        <f t="shared" si="1"/>
        <v>2</v>
      </c>
      <c r="J19" s="13">
        <f t="shared" si="1"/>
        <v>4</v>
      </c>
      <c r="K19" s="13">
        <f t="shared" si="1"/>
        <v>3</v>
      </c>
      <c r="L19" s="13">
        <f t="shared" si="1"/>
        <v>2</v>
      </c>
      <c r="M19" s="13">
        <f t="shared" si="1"/>
        <v>2</v>
      </c>
      <c r="N19" s="13">
        <f t="shared" si="1"/>
        <v>0</v>
      </c>
      <c r="O19" s="13">
        <f t="shared" si="1"/>
        <v>3</v>
      </c>
      <c r="P19" s="13">
        <f t="shared" si="1"/>
        <v>1</v>
      </c>
      <c r="Q19" s="13">
        <f t="shared" si="1"/>
        <v>2</v>
      </c>
      <c r="R19" s="13">
        <f t="shared" si="1"/>
        <v>2</v>
      </c>
      <c r="S19" s="13">
        <f t="shared" si="1"/>
        <v>1</v>
      </c>
      <c r="T19" s="13">
        <f t="shared" si="1"/>
        <v>2</v>
      </c>
      <c r="U19" s="13">
        <f t="shared" si="1"/>
        <v>1</v>
      </c>
      <c r="V19" s="13">
        <f t="shared" si="1"/>
        <v>3</v>
      </c>
      <c r="W19" s="13">
        <f t="shared" si="1"/>
        <v>1</v>
      </c>
      <c r="X19" s="13">
        <f t="shared" si="1"/>
        <v>1</v>
      </c>
      <c r="Y19" s="13">
        <f t="shared" si="1"/>
        <v>2</v>
      </c>
      <c r="Z19" s="13"/>
      <c r="AA19" s="13"/>
    </row>
    <row r="20" spans="1:27" x14ac:dyDescent="0.3">
      <c r="A20" s="18" t="s">
        <v>251</v>
      </c>
      <c r="B20" s="14"/>
      <c r="C20" s="14"/>
      <c r="D20" s="13">
        <f>IF(LEFT(D$5,1)="1",COUNTIF(Mau_cau!$N$4:$N$300,"*"&amp;D$3&amp;"*"),"—")</f>
        <v>8</v>
      </c>
      <c r="E20" s="13">
        <f>IF(LEFT(E$5,1)="1",COUNTIF(Mau_cau!$N$4:$N$300,"*"&amp;E$3&amp;"*"),"—")</f>
        <v>21</v>
      </c>
      <c r="F20" s="13">
        <f>IF(LEFT(F$5,1)="1",COUNTIF(Mau_cau!$N$4:$N$300,"*"&amp;F$3&amp;"*"),"—")</f>
        <v>6</v>
      </c>
      <c r="G20" s="13">
        <f>IF(LEFT(G$5,1)="1",COUNTIF(Mau_cau!$N$4:$N$300,"*"&amp;G$3&amp;"*"),"—")</f>
        <v>3</v>
      </c>
      <c r="H20" s="13">
        <f>IF(LEFT(H$5,1)="1",COUNTIF(Mau_cau!$N$4:$N$300,"*"&amp;H$3&amp;"*"),"—")</f>
        <v>5</v>
      </c>
      <c r="I20" s="13">
        <f>IF(LEFT(I$5,1)="1",COUNTIF(Mau_cau!$N$4:$N$300,"*"&amp;I$3&amp;"*"),"—")</f>
        <v>4</v>
      </c>
      <c r="J20" s="13">
        <f>IF(LEFT(J$5,1)="1",COUNTIF(Mau_cau!$N$4:$N$300,"*"&amp;J$3&amp;"*"),"—")</f>
        <v>29</v>
      </c>
      <c r="K20" s="13">
        <f>IF(LEFT(K$5,1)="1",COUNTIF(Mau_cau!$N$4:$N$300,"*"&amp;K$3&amp;"*"),"—")</f>
        <v>1</v>
      </c>
      <c r="L20" s="13">
        <f>IF(LEFT(L$5,1)="1",COUNTIF(Mau_cau!$N$4:$N$300,"*"&amp;L$3&amp;"*"),"—")</f>
        <v>5</v>
      </c>
      <c r="M20" s="13" t="str">
        <f>IF(LEFT(M$5,1)="1",COUNTIF(Mau_cau!$N$4:$N$300,"*"&amp;M$3&amp;"*"),"—")</f>
        <v>—</v>
      </c>
      <c r="N20" s="13" t="str">
        <f>IF(LEFT(N$5,1)="1",COUNTIF(Mau_cau!$N$4:$N$300,"*"&amp;N$3&amp;"*"),"—")</f>
        <v>—</v>
      </c>
      <c r="O20" s="13">
        <f>IF(LEFT(O$5,1)="1",COUNTIF(Mau_cau!$N$4:$N$300,"*"&amp;O$3&amp;"*"),"—")</f>
        <v>6</v>
      </c>
      <c r="P20" s="13" t="str">
        <f>IF(LEFT(P$5,1)="1",COUNTIF(Mau_cau!$N$4:$N$300,"*"&amp;P$3&amp;"*"),"—")</f>
        <v>—</v>
      </c>
      <c r="Q20" s="13" t="str">
        <f>IF(LEFT(Q$5,1)="1",COUNTIF(Mau_cau!$N$4:$N$300,"*"&amp;Q$3&amp;"*"),"—")</f>
        <v>—</v>
      </c>
      <c r="R20" s="13">
        <f>IF(LEFT(R$5,1)="1",COUNTIF(Mau_cau!$N$4:$N$300,"*"&amp;R$3&amp;"*"),"—")</f>
        <v>19</v>
      </c>
      <c r="S20" s="13">
        <f>IF(LEFT(S$5,1)="1",COUNTIF(Mau_cau!$N$4:$N$300,"*"&amp;S$3&amp;"*"),"—")</f>
        <v>5</v>
      </c>
      <c r="T20" s="13">
        <f>IF(LEFT(T$5,1)="1",COUNTIF(Mau_cau!$N$4:$N$300,"*"&amp;T$3&amp;"*"),"—")</f>
        <v>6</v>
      </c>
      <c r="U20" s="13">
        <f>IF(LEFT(U$5,1)="1",COUNTIF(Mau_cau!$N$4:$N$300,"*"&amp;U$3&amp;"*"),"—")</f>
        <v>2</v>
      </c>
      <c r="V20" s="13">
        <f>IF(LEFT(V$5,1)="1",COUNTIF(Mau_cau!$N$4:$N$300,"*"&amp;V$3&amp;"*"),"—")</f>
        <v>3</v>
      </c>
      <c r="W20" s="13" t="str">
        <f>IF(LEFT(W$5,1)="1",COUNTIF(Mau_cau!$N$4:$N$300,"*"&amp;W$3&amp;"*"),"—")</f>
        <v>—</v>
      </c>
      <c r="X20" s="13" t="str">
        <f>IF(LEFT(X$5,1)="1",COUNTIF(Mau_cau!$N$4:$N$300,"*"&amp;X$3&amp;"*"),"—")</f>
        <v>—</v>
      </c>
      <c r="Y20" s="13" t="str">
        <f>IF(LEFT(Y$5,1)="1",COUNTIF(Mau_cau!$N$4:$N$300,"*"&amp;Y$3&amp;"*"),"—")</f>
        <v>—</v>
      </c>
      <c r="Z20" s="13"/>
      <c r="AA20" s="13"/>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1"/>
  <sheetViews>
    <sheetView showGridLines="0" zoomScaleNormal="100" workbookViewId="0">
      <pane ySplit="3" topLeftCell="A4" activePane="bottomLeft" state="frozen"/>
      <selection pane="bottomLeft"/>
    </sheetView>
  </sheetViews>
  <sheetFormatPr defaultColWidth="8.6640625" defaultRowHeight="14.4" x14ac:dyDescent="0.3"/>
  <cols>
    <col min="1" max="1" width="6" customWidth="1"/>
    <col min="2" max="2" width="7" customWidth="1"/>
    <col min="3" max="3" width="22" customWidth="1"/>
    <col min="4" max="4" width="34" customWidth="1"/>
    <col min="5" max="5" width="12" customWidth="1"/>
    <col min="6" max="6" width="34" customWidth="1"/>
    <col min="7" max="7" width="10" customWidth="1"/>
    <col min="8" max="8" width="12" customWidth="1"/>
    <col min="9" max="9" width="34" customWidth="1"/>
    <col min="10" max="10" width="10" customWidth="1"/>
    <col min="11" max="11" width="12" customWidth="1"/>
    <col min="12" max="12" width="30" customWidth="1"/>
    <col min="13" max="13" width="10" customWidth="1"/>
    <col min="14" max="14" width="12" customWidth="1"/>
    <col min="15" max="15" width="26" customWidth="1"/>
    <col min="16" max="16" width="18" customWidth="1"/>
    <col min="17" max="17" width="44" customWidth="1"/>
  </cols>
  <sheetData>
    <row r="1" spans="1:17" ht="17.399999999999999" x14ac:dyDescent="0.3">
      <c r="A1" s="1" t="s">
        <v>703</v>
      </c>
    </row>
    <row r="2" spans="1:17" x14ac:dyDescent="0.3">
      <c r="A2" s="2" t="s">
        <v>704</v>
      </c>
    </row>
    <row r="3" spans="1:17" ht="39.6" x14ac:dyDescent="0.3">
      <c r="A3" s="11" t="s">
        <v>63</v>
      </c>
      <c r="B3" s="11" t="s">
        <v>705</v>
      </c>
      <c r="C3" s="11" t="s">
        <v>706</v>
      </c>
      <c r="D3" s="11" t="s">
        <v>707</v>
      </c>
      <c r="E3" s="11" t="s">
        <v>708</v>
      </c>
      <c r="F3" s="11" t="s">
        <v>709</v>
      </c>
      <c r="G3" s="11" t="s">
        <v>710</v>
      </c>
      <c r="H3" s="11" t="s">
        <v>711</v>
      </c>
      <c r="I3" s="11" t="s">
        <v>712</v>
      </c>
      <c r="J3" s="11" t="s">
        <v>713</v>
      </c>
      <c r="K3" s="11" t="s">
        <v>714</v>
      </c>
      <c r="L3" s="11" t="s">
        <v>715</v>
      </c>
      <c r="M3" s="11" t="s">
        <v>716</v>
      </c>
      <c r="N3" s="12" t="s">
        <v>717</v>
      </c>
      <c r="O3" s="11" t="s">
        <v>718</v>
      </c>
      <c r="P3" s="11" t="s">
        <v>719</v>
      </c>
      <c r="Q3" s="11" t="s">
        <v>72</v>
      </c>
    </row>
    <row r="4" spans="1:17" ht="39.6" x14ac:dyDescent="0.3">
      <c r="A4" s="13" t="s">
        <v>720</v>
      </c>
      <c r="B4" s="13" t="s">
        <v>132</v>
      </c>
      <c r="C4" s="14" t="s">
        <v>721</v>
      </c>
      <c r="D4" s="14" t="s">
        <v>722</v>
      </c>
      <c r="E4" s="14" t="s">
        <v>723</v>
      </c>
      <c r="F4" s="14" t="s">
        <v>724</v>
      </c>
      <c r="G4" s="19">
        <v>4</v>
      </c>
      <c r="H4" s="14" t="s">
        <v>725</v>
      </c>
      <c r="I4" s="14" t="s">
        <v>726</v>
      </c>
      <c r="J4" s="19">
        <v>300</v>
      </c>
      <c r="K4" s="14"/>
      <c r="L4" s="14"/>
      <c r="M4" s="19"/>
      <c r="N4" s="13">
        <f t="shared" ref="N4:N21" si="0">G4*IF(J4="",1,J4)*IF(M4="",1,M4)</f>
        <v>1200</v>
      </c>
      <c r="O4" s="14" t="s">
        <v>727</v>
      </c>
      <c r="P4" s="14" t="s">
        <v>728</v>
      </c>
      <c r="Q4" s="14" t="s">
        <v>729</v>
      </c>
    </row>
    <row r="5" spans="1:17" ht="26.4" x14ac:dyDescent="0.3">
      <c r="A5" s="13" t="s">
        <v>730</v>
      </c>
      <c r="B5" s="13" t="s">
        <v>132</v>
      </c>
      <c r="C5" s="14" t="s">
        <v>731</v>
      </c>
      <c r="D5" s="14" t="s">
        <v>732</v>
      </c>
      <c r="E5" s="14" t="s">
        <v>733</v>
      </c>
      <c r="F5" s="14" t="s">
        <v>734</v>
      </c>
      <c r="G5" s="19">
        <v>5</v>
      </c>
      <c r="H5" s="14" t="s">
        <v>725</v>
      </c>
      <c r="I5" s="14" t="s">
        <v>735</v>
      </c>
      <c r="J5" s="19">
        <v>300</v>
      </c>
      <c r="K5" s="14"/>
      <c r="L5" s="14"/>
      <c r="M5" s="19"/>
      <c r="N5" s="13">
        <f t="shared" si="0"/>
        <v>1500</v>
      </c>
      <c r="O5" s="14"/>
      <c r="P5" s="14" t="s">
        <v>736</v>
      </c>
      <c r="Q5" s="14"/>
    </row>
    <row r="6" spans="1:17" ht="26.4" x14ac:dyDescent="0.3">
      <c r="A6" s="13" t="s">
        <v>737</v>
      </c>
      <c r="B6" s="13" t="s">
        <v>132</v>
      </c>
      <c r="C6" s="14" t="s">
        <v>738</v>
      </c>
      <c r="D6" s="14" t="s">
        <v>739</v>
      </c>
      <c r="E6" s="14" t="s">
        <v>740</v>
      </c>
      <c r="F6" s="14" t="s">
        <v>741</v>
      </c>
      <c r="G6" s="19">
        <v>8</v>
      </c>
      <c r="H6" s="14"/>
      <c r="I6" s="14"/>
      <c r="J6" s="19"/>
      <c r="K6" s="14"/>
      <c r="L6" s="14"/>
      <c r="M6" s="19"/>
      <c r="N6" s="13">
        <f t="shared" si="0"/>
        <v>8</v>
      </c>
      <c r="O6" s="14" t="s">
        <v>742</v>
      </c>
      <c r="P6" s="14" t="s">
        <v>581</v>
      </c>
      <c r="Q6" s="14"/>
    </row>
    <row r="7" spans="1:17" x14ac:dyDescent="0.3">
      <c r="A7" s="13" t="s">
        <v>743</v>
      </c>
      <c r="B7" s="13" t="s">
        <v>150</v>
      </c>
      <c r="C7" s="14" t="s">
        <v>744</v>
      </c>
      <c r="D7" s="14" t="s">
        <v>745</v>
      </c>
      <c r="E7" s="14" t="s">
        <v>746</v>
      </c>
      <c r="F7" s="14" t="s">
        <v>747</v>
      </c>
      <c r="G7" s="19">
        <v>3</v>
      </c>
      <c r="H7" s="14" t="s">
        <v>748</v>
      </c>
      <c r="I7" s="14" t="s">
        <v>749</v>
      </c>
      <c r="J7" s="19">
        <v>11</v>
      </c>
      <c r="K7" s="14"/>
      <c r="L7" s="14"/>
      <c r="M7" s="19"/>
      <c r="N7" s="13">
        <f t="shared" si="0"/>
        <v>33</v>
      </c>
      <c r="O7" s="14"/>
      <c r="P7" s="14" t="s">
        <v>750</v>
      </c>
      <c r="Q7" s="14"/>
    </row>
    <row r="8" spans="1:17" x14ac:dyDescent="0.3">
      <c r="A8" s="13" t="s">
        <v>751</v>
      </c>
      <c r="B8" s="13" t="s">
        <v>150</v>
      </c>
      <c r="C8" s="14" t="s">
        <v>752</v>
      </c>
      <c r="D8" s="14" t="s">
        <v>753</v>
      </c>
      <c r="E8" s="14" t="s">
        <v>754</v>
      </c>
      <c r="F8" s="14" t="s">
        <v>755</v>
      </c>
      <c r="G8" s="19">
        <v>2</v>
      </c>
      <c r="H8" s="14" t="s">
        <v>756</v>
      </c>
      <c r="I8" s="14" t="s">
        <v>757</v>
      </c>
      <c r="J8" s="19">
        <v>4</v>
      </c>
      <c r="K8" s="14" t="s">
        <v>758</v>
      </c>
      <c r="L8" s="14" t="s">
        <v>759</v>
      </c>
      <c r="M8" s="19">
        <v>3</v>
      </c>
      <c r="N8" s="13">
        <f t="shared" si="0"/>
        <v>24</v>
      </c>
      <c r="O8" s="14" t="s">
        <v>760</v>
      </c>
      <c r="P8" s="14" t="s">
        <v>761</v>
      </c>
      <c r="Q8" s="14"/>
    </row>
    <row r="9" spans="1:17" ht="26.4" x14ac:dyDescent="0.3">
      <c r="A9" s="13" t="s">
        <v>762</v>
      </c>
      <c r="B9" s="13" t="s">
        <v>150</v>
      </c>
      <c r="C9" s="14" t="s">
        <v>763</v>
      </c>
      <c r="D9" s="14" t="s">
        <v>764</v>
      </c>
      <c r="E9" s="14" t="s">
        <v>765</v>
      </c>
      <c r="F9" s="14" t="s">
        <v>766</v>
      </c>
      <c r="G9" s="19">
        <v>3</v>
      </c>
      <c r="H9" s="14" t="s">
        <v>748</v>
      </c>
      <c r="I9" s="14" t="s">
        <v>767</v>
      </c>
      <c r="J9" s="19">
        <v>11</v>
      </c>
      <c r="K9" s="14"/>
      <c r="L9" s="14"/>
      <c r="M9" s="19"/>
      <c r="N9" s="13">
        <f t="shared" si="0"/>
        <v>33</v>
      </c>
      <c r="O9" s="14" t="s">
        <v>768</v>
      </c>
      <c r="P9" s="14" t="s">
        <v>769</v>
      </c>
      <c r="Q9" s="14"/>
    </row>
    <row r="10" spans="1:17" ht="26.4" x14ac:dyDescent="0.3">
      <c r="A10" s="13" t="s">
        <v>770</v>
      </c>
      <c r="B10" s="13" t="s">
        <v>159</v>
      </c>
      <c r="C10" s="14" t="s">
        <v>771</v>
      </c>
      <c r="D10" s="14" t="s">
        <v>772</v>
      </c>
      <c r="E10" s="14" t="s">
        <v>773</v>
      </c>
      <c r="F10" s="14" t="s">
        <v>774</v>
      </c>
      <c r="G10" s="19">
        <v>3</v>
      </c>
      <c r="H10" s="14" t="s">
        <v>775</v>
      </c>
      <c r="I10" s="14" t="s">
        <v>776</v>
      </c>
      <c r="J10" s="19">
        <v>100</v>
      </c>
      <c r="K10" s="14"/>
      <c r="L10" s="14"/>
      <c r="M10" s="19"/>
      <c r="N10" s="13">
        <f t="shared" si="0"/>
        <v>300</v>
      </c>
      <c r="O10" s="14"/>
      <c r="P10" s="14" t="s">
        <v>777</v>
      </c>
      <c r="Q10" s="14" t="s">
        <v>778</v>
      </c>
    </row>
    <row r="11" spans="1:17" x14ac:dyDescent="0.3">
      <c r="A11" s="13" t="s">
        <v>779</v>
      </c>
      <c r="B11" s="13" t="s">
        <v>159</v>
      </c>
      <c r="C11" s="14" t="s">
        <v>780</v>
      </c>
      <c r="D11" s="14" t="s">
        <v>781</v>
      </c>
      <c r="E11" s="14" t="s">
        <v>782</v>
      </c>
      <c r="F11" s="14" t="s">
        <v>783</v>
      </c>
      <c r="G11" s="19">
        <v>10</v>
      </c>
      <c r="H11" s="14" t="s">
        <v>784</v>
      </c>
      <c r="I11" s="14" t="s">
        <v>785</v>
      </c>
      <c r="J11" s="19">
        <v>10</v>
      </c>
      <c r="K11" s="14"/>
      <c r="L11" s="14"/>
      <c r="M11" s="19"/>
      <c r="N11" s="13">
        <f t="shared" si="0"/>
        <v>100</v>
      </c>
      <c r="O11" s="14"/>
      <c r="P11" s="14" t="s">
        <v>786</v>
      </c>
      <c r="Q11" s="14"/>
    </row>
    <row r="12" spans="1:17" ht="26.4" x14ac:dyDescent="0.3">
      <c r="A12" s="13" t="s">
        <v>787</v>
      </c>
      <c r="B12" s="13" t="s">
        <v>167</v>
      </c>
      <c r="C12" s="14" t="s">
        <v>788</v>
      </c>
      <c r="D12" s="14" t="s">
        <v>789</v>
      </c>
      <c r="E12" s="14" t="s">
        <v>790</v>
      </c>
      <c r="F12" s="14" t="s">
        <v>791</v>
      </c>
      <c r="G12" s="19">
        <v>100</v>
      </c>
      <c r="H12" s="14"/>
      <c r="I12" s="14"/>
      <c r="J12" s="19"/>
      <c r="K12" s="14"/>
      <c r="L12" s="14"/>
      <c r="M12" s="19"/>
      <c r="N12" s="13">
        <f t="shared" si="0"/>
        <v>100</v>
      </c>
      <c r="O12" s="14" t="s">
        <v>792</v>
      </c>
      <c r="P12" s="14" t="s">
        <v>793</v>
      </c>
      <c r="Q12" s="14" t="s">
        <v>794</v>
      </c>
    </row>
    <row r="13" spans="1:17" x14ac:dyDescent="0.3">
      <c r="A13" s="13" t="s">
        <v>795</v>
      </c>
      <c r="B13" s="13" t="s">
        <v>167</v>
      </c>
      <c r="C13" s="14" t="s">
        <v>796</v>
      </c>
      <c r="D13" s="14" t="s">
        <v>797</v>
      </c>
      <c r="E13" s="14" t="s">
        <v>798</v>
      </c>
      <c r="F13" s="14" t="s">
        <v>799</v>
      </c>
      <c r="G13" s="19">
        <v>200</v>
      </c>
      <c r="H13" s="14"/>
      <c r="I13" s="14"/>
      <c r="J13" s="19"/>
      <c r="K13" s="14"/>
      <c r="L13" s="14"/>
      <c r="M13" s="19"/>
      <c r="N13" s="13">
        <f t="shared" si="0"/>
        <v>200</v>
      </c>
      <c r="O13" s="14"/>
      <c r="P13" s="14" t="s">
        <v>800</v>
      </c>
      <c r="Q13" s="14"/>
    </row>
    <row r="14" spans="1:17" x14ac:dyDescent="0.3">
      <c r="A14" s="13" t="s">
        <v>801</v>
      </c>
      <c r="B14" s="13" t="s">
        <v>175</v>
      </c>
      <c r="C14" s="14" t="s">
        <v>802</v>
      </c>
      <c r="D14" s="14" t="s">
        <v>803</v>
      </c>
      <c r="E14" s="14" t="s">
        <v>804</v>
      </c>
      <c r="F14" s="14" t="s">
        <v>805</v>
      </c>
      <c r="G14" s="19">
        <v>4</v>
      </c>
      <c r="H14" s="14" t="s">
        <v>806</v>
      </c>
      <c r="I14" s="14" t="s">
        <v>807</v>
      </c>
      <c r="J14" s="19">
        <v>4</v>
      </c>
      <c r="K14" s="14" t="s">
        <v>733</v>
      </c>
      <c r="L14" s="14" t="s">
        <v>808</v>
      </c>
      <c r="M14" s="19">
        <v>3</v>
      </c>
      <c r="N14" s="13">
        <f t="shared" si="0"/>
        <v>48</v>
      </c>
      <c r="O14" s="14" t="s">
        <v>809</v>
      </c>
      <c r="P14" s="14" t="s">
        <v>810</v>
      </c>
      <c r="Q14" s="14"/>
    </row>
    <row r="15" spans="1:17" ht="26.4" x14ac:dyDescent="0.3">
      <c r="A15" s="13" t="s">
        <v>811</v>
      </c>
      <c r="B15" s="13" t="s">
        <v>184</v>
      </c>
      <c r="C15" s="14" t="s">
        <v>812</v>
      </c>
      <c r="D15" s="14" t="s">
        <v>813</v>
      </c>
      <c r="E15" s="14" t="s">
        <v>814</v>
      </c>
      <c r="F15" s="14" t="s">
        <v>815</v>
      </c>
      <c r="G15" s="19">
        <v>8</v>
      </c>
      <c r="H15" s="14" t="s">
        <v>816</v>
      </c>
      <c r="I15" s="14" t="s">
        <v>817</v>
      </c>
      <c r="J15" s="19">
        <v>4</v>
      </c>
      <c r="K15" s="14"/>
      <c r="L15" s="14"/>
      <c r="M15" s="19"/>
      <c r="N15" s="13">
        <f t="shared" si="0"/>
        <v>32</v>
      </c>
      <c r="O15" s="14"/>
      <c r="P15" s="14" t="s">
        <v>810</v>
      </c>
      <c r="Q15" s="14"/>
    </row>
    <row r="16" spans="1:17" ht="26.4" x14ac:dyDescent="0.3">
      <c r="A16" s="13" t="s">
        <v>818</v>
      </c>
      <c r="B16" s="13" t="s">
        <v>192</v>
      </c>
      <c r="C16" s="14" t="s">
        <v>819</v>
      </c>
      <c r="D16" s="14" t="s">
        <v>820</v>
      </c>
      <c r="E16" s="14" t="s">
        <v>821</v>
      </c>
      <c r="F16" s="14" t="s">
        <v>822</v>
      </c>
      <c r="G16" s="19">
        <v>63</v>
      </c>
      <c r="H16" s="14" t="s">
        <v>823</v>
      </c>
      <c r="I16" s="14" t="s">
        <v>824</v>
      </c>
      <c r="J16" s="19">
        <v>4</v>
      </c>
      <c r="K16" s="14"/>
      <c r="L16" s="14"/>
      <c r="M16" s="19"/>
      <c r="N16" s="13">
        <f t="shared" si="0"/>
        <v>252</v>
      </c>
      <c r="O16" s="14"/>
      <c r="P16" s="14" t="s">
        <v>644</v>
      </c>
      <c r="Q16" s="14"/>
    </row>
    <row r="17" spans="1:17" x14ac:dyDescent="0.3">
      <c r="A17" s="13" t="s">
        <v>825</v>
      </c>
      <c r="B17" s="13" t="s">
        <v>200</v>
      </c>
      <c r="C17" s="14" t="s">
        <v>826</v>
      </c>
      <c r="D17" s="14" t="s">
        <v>827</v>
      </c>
      <c r="E17" s="14" t="s">
        <v>828</v>
      </c>
      <c r="F17" s="14" t="s">
        <v>829</v>
      </c>
      <c r="G17" s="19">
        <v>4</v>
      </c>
      <c r="H17" s="14"/>
      <c r="I17" s="14"/>
      <c r="J17" s="19"/>
      <c r="K17" s="14"/>
      <c r="L17" s="14"/>
      <c r="M17" s="19"/>
      <c r="N17" s="13">
        <f t="shared" si="0"/>
        <v>4</v>
      </c>
      <c r="O17" s="14"/>
      <c r="P17" s="14" t="s">
        <v>830</v>
      </c>
      <c r="Q17" s="14" t="s">
        <v>831</v>
      </c>
    </row>
    <row r="18" spans="1:17" ht="26.4" x14ac:dyDescent="0.3">
      <c r="A18" s="13" t="s">
        <v>832</v>
      </c>
      <c r="B18" s="13" t="s">
        <v>209</v>
      </c>
      <c r="C18" s="14" t="s">
        <v>833</v>
      </c>
      <c r="D18" s="14" t="s">
        <v>834</v>
      </c>
      <c r="E18" s="14" t="s">
        <v>835</v>
      </c>
      <c r="F18" s="14" t="s">
        <v>836</v>
      </c>
      <c r="G18" s="19">
        <v>100</v>
      </c>
      <c r="H18" s="14" t="s">
        <v>837</v>
      </c>
      <c r="I18" s="14" t="s">
        <v>838</v>
      </c>
      <c r="J18" s="19">
        <v>20</v>
      </c>
      <c r="K18" s="14"/>
      <c r="L18" s="14"/>
      <c r="M18" s="19"/>
      <c r="N18" s="13">
        <f t="shared" si="0"/>
        <v>2000</v>
      </c>
      <c r="O18" s="14"/>
      <c r="P18" s="14" t="s">
        <v>839</v>
      </c>
      <c r="Q18" s="14"/>
    </row>
    <row r="19" spans="1:17" ht="26.4" x14ac:dyDescent="0.3">
      <c r="A19" s="13" t="s">
        <v>840</v>
      </c>
      <c r="B19" s="13" t="s">
        <v>209</v>
      </c>
      <c r="C19" s="14" t="s">
        <v>841</v>
      </c>
      <c r="D19" s="14" t="s">
        <v>842</v>
      </c>
      <c r="E19" s="14" t="s">
        <v>843</v>
      </c>
      <c r="F19" s="14" t="s">
        <v>844</v>
      </c>
      <c r="G19" s="19">
        <v>10</v>
      </c>
      <c r="H19" s="14" t="s">
        <v>845</v>
      </c>
      <c r="I19" s="14" t="s">
        <v>846</v>
      </c>
      <c r="J19" s="19">
        <v>2</v>
      </c>
      <c r="K19" s="14"/>
      <c r="L19" s="14"/>
      <c r="M19" s="19"/>
      <c r="N19" s="13">
        <f t="shared" si="0"/>
        <v>20</v>
      </c>
      <c r="O19" s="14" t="s">
        <v>847</v>
      </c>
      <c r="P19" s="14" t="s">
        <v>848</v>
      </c>
      <c r="Q19" s="14"/>
    </row>
    <row r="20" spans="1:17" x14ac:dyDescent="0.3">
      <c r="A20" s="13" t="s">
        <v>849</v>
      </c>
      <c r="B20" s="13" t="s">
        <v>226</v>
      </c>
      <c r="C20" s="14" t="s">
        <v>850</v>
      </c>
      <c r="D20" s="14" t="s">
        <v>851</v>
      </c>
      <c r="E20" s="14" t="s">
        <v>852</v>
      </c>
      <c r="F20" s="14" t="s">
        <v>853</v>
      </c>
      <c r="G20" s="19">
        <v>40</v>
      </c>
      <c r="H20" s="14"/>
      <c r="I20" s="14"/>
      <c r="J20" s="19"/>
      <c r="K20" s="14"/>
      <c r="L20" s="14"/>
      <c r="M20" s="19"/>
      <c r="N20" s="13">
        <f t="shared" si="0"/>
        <v>40</v>
      </c>
      <c r="O20" s="14" t="s">
        <v>854</v>
      </c>
      <c r="P20" s="14" t="s">
        <v>855</v>
      </c>
      <c r="Q20" s="14" t="s">
        <v>856</v>
      </c>
    </row>
    <row r="21" spans="1:17" x14ac:dyDescent="0.3">
      <c r="A21" s="13" t="s">
        <v>857</v>
      </c>
      <c r="B21" s="13" t="s">
        <v>226</v>
      </c>
      <c r="C21" s="14" t="s">
        <v>858</v>
      </c>
      <c r="D21" s="14" t="s">
        <v>859</v>
      </c>
      <c r="E21" s="14" t="s">
        <v>860</v>
      </c>
      <c r="F21" s="14" t="s">
        <v>861</v>
      </c>
      <c r="G21" s="19">
        <v>100</v>
      </c>
      <c r="H21" s="14"/>
      <c r="I21" s="14"/>
      <c r="J21" s="19"/>
      <c r="K21" s="14"/>
      <c r="L21" s="14"/>
      <c r="M21" s="19"/>
      <c r="N21" s="13">
        <f t="shared" si="0"/>
        <v>100</v>
      </c>
      <c r="O21" s="14"/>
      <c r="P21" s="14" t="s">
        <v>862</v>
      </c>
      <c r="Q21" s="14"/>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Chọn giá trị trong danh sách (sheet Tu_vung)." xr:uid="{00000000-0002-0000-0600-000000000000}">
          <x14:formula1>
            <xm:f>Tu_vung!$Q$2:$Q$13</xm:f>
          </x14:formula1>
          <x14:formula2>
            <xm:f>0</xm:f>
          </x14:formula2>
          <xm:sqref>B4:B61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zoomScaleNormal="100" workbookViewId="0">
      <pane ySplit="3" topLeftCell="A4" activePane="bottomLeft" state="frozen"/>
      <selection pane="bottomLeft"/>
    </sheetView>
  </sheetViews>
  <sheetFormatPr defaultColWidth="8.6640625" defaultRowHeight="14.4" x14ac:dyDescent="0.3"/>
  <cols>
    <col min="1" max="1" width="14" customWidth="1"/>
    <col min="2" max="2" width="9" customWidth="1"/>
    <col min="3" max="3" width="8" customWidth="1"/>
    <col min="4" max="4" width="20" customWidth="1"/>
    <col min="5" max="5" width="24" customWidth="1"/>
    <col min="6" max="6" width="12" customWidth="1"/>
    <col min="7" max="7" width="38" customWidth="1"/>
    <col min="8" max="8" width="42" customWidth="1"/>
    <col min="9" max="9" width="12" customWidth="1"/>
    <col min="10" max="10" width="24" customWidth="1"/>
    <col min="11" max="12" width="14" customWidth="1"/>
    <col min="13" max="13" width="18" customWidth="1"/>
    <col min="14" max="14" width="22" customWidth="1"/>
    <col min="15" max="15" width="9" customWidth="1"/>
    <col min="16" max="16" width="14" customWidth="1"/>
    <col min="17" max="17" width="10" customWidth="1"/>
    <col min="18" max="18" width="38" customWidth="1"/>
  </cols>
  <sheetData>
    <row r="1" spans="1:18" ht="17.399999999999999" x14ac:dyDescent="0.3">
      <c r="A1" s="1" t="s">
        <v>863</v>
      </c>
    </row>
    <row r="2" spans="1:18" x14ac:dyDescent="0.3">
      <c r="A2" s="2" t="s">
        <v>864</v>
      </c>
    </row>
    <row r="3" spans="1:18" ht="26.4" x14ac:dyDescent="0.3">
      <c r="A3" s="11" t="s">
        <v>865</v>
      </c>
      <c r="B3" s="11" t="s">
        <v>866</v>
      </c>
      <c r="C3" s="11" t="s">
        <v>867</v>
      </c>
      <c r="D3" s="12" t="s">
        <v>868</v>
      </c>
      <c r="E3" s="11" t="s">
        <v>869</v>
      </c>
      <c r="F3" s="11" t="s">
        <v>870</v>
      </c>
      <c r="G3" s="11" t="s">
        <v>871</v>
      </c>
      <c r="H3" s="11" t="s">
        <v>872</v>
      </c>
      <c r="I3" s="11" t="s">
        <v>873</v>
      </c>
      <c r="J3" s="11" t="s">
        <v>874</v>
      </c>
      <c r="K3" s="11" t="s">
        <v>875</v>
      </c>
      <c r="L3" s="11" t="s">
        <v>876</v>
      </c>
      <c r="M3" s="11" t="s">
        <v>877</v>
      </c>
      <c r="N3" s="11" t="s">
        <v>878</v>
      </c>
      <c r="O3" s="12" t="s">
        <v>879</v>
      </c>
      <c r="P3" s="12" t="s">
        <v>880</v>
      </c>
      <c r="Q3" s="12" t="s">
        <v>881</v>
      </c>
      <c r="R3" s="20" t="s">
        <v>882</v>
      </c>
    </row>
    <row r="4" spans="1:18" ht="26.4" x14ac:dyDescent="0.3">
      <c r="A4" s="14" t="s">
        <v>883</v>
      </c>
      <c r="B4" s="13" t="s">
        <v>74</v>
      </c>
      <c r="C4" s="13" t="s">
        <v>132</v>
      </c>
      <c r="D4" s="14" t="str">
        <f>IFERROR(INDEX(Case_study!$B$4:$B$15,MATCH(C4,Case_study!$A$4:$A$15,0)),"")</f>
        <v>Dẫn đường</v>
      </c>
      <c r="E4" s="14" t="s">
        <v>721</v>
      </c>
      <c r="F4" s="14" t="s">
        <v>884</v>
      </c>
      <c r="G4" s="14" t="s">
        <v>885</v>
      </c>
      <c r="H4" s="14" t="s">
        <v>886</v>
      </c>
      <c r="I4" s="14" t="s">
        <v>887</v>
      </c>
      <c r="J4" s="14" t="s">
        <v>888</v>
      </c>
      <c r="K4" s="14" t="s">
        <v>889</v>
      </c>
      <c r="L4" s="14" t="s">
        <v>889</v>
      </c>
      <c r="M4" s="14" t="s">
        <v>890</v>
      </c>
      <c r="N4" s="14" t="s">
        <v>728</v>
      </c>
      <c r="O4" s="13">
        <f t="shared" ref="O4:O35" si="0">LEN(TRIM(H4))-LEN(SUBSTITUTE(TRIM(H4)," ",""))+1</f>
        <v>12</v>
      </c>
      <c r="P4" s="14" t="str">
        <f t="shared" ref="P4:P35" si="1">IF(O4&lt;=3,"Rất ngắn (≤3)",IF(O4&lt;=8,"Ngắn (4–8)","Thường (&gt;8)"))</f>
        <v>Thường (&gt;8)</v>
      </c>
      <c r="Q4" s="13">
        <f>ROUND(O4/Tong_quan!$B$40,1)</f>
        <v>2.7</v>
      </c>
      <c r="R4" s="14" t="s">
        <v>891</v>
      </c>
    </row>
    <row r="5" spans="1:18" ht="26.4" x14ac:dyDescent="0.3">
      <c r="A5" s="14" t="s">
        <v>892</v>
      </c>
      <c r="B5" s="13" t="s">
        <v>74</v>
      </c>
      <c r="C5" s="13" t="s">
        <v>132</v>
      </c>
      <c r="D5" s="14" t="str">
        <f>IFERROR(INDEX(Case_study!$B$4:$B$15,MATCH(C5,Case_study!$A$4:$A$15,0)),"")</f>
        <v>Dẫn đường</v>
      </c>
      <c r="E5" s="14" t="s">
        <v>721</v>
      </c>
      <c r="F5" s="14" t="s">
        <v>884</v>
      </c>
      <c r="G5" s="14" t="s">
        <v>893</v>
      </c>
      <c r="H5" s="14" t="s">
        <v>894</v>
      </c>
      <c r="I5" s="14" t="s">
        <v>887</v>
      </c>
      <c r="J5" s="14" t="s">
        <v>888</v>
      </c>
      <c r="K5" s="14" t="s">
        <v>895</v>
      </c>
      <c r="L5" s="14" t="s">
        <v>895</v>
      </c>
      <c r="M5" s="14" t="s">
        <v>890</v>
      </c>
      <c r="N5" s="14" t="s">
        <v>728</v>
      </c>
      <c r="O5" s="13">
        <f t="shared" si="0"/>
        <v>11</v>
      </c>
      <c r="P5" s="14" t="str">
        <f t="shared" si="1"/>
        <v>Thường (&gt;8)</v>
      </c>
      <c r="Q5" s="13">
        <f>ROUND(O5/Tong_quan!$B$40,1)</f>
        <v>2.4</v>
      </c>
      <c r="R5" s="14" t="s">
        <v>891</v>
      </c>
    </row>
    <row r="6" spans="1:18" ht="26.4" x14ac:dyDescent="0.3">
      <c r="A6" s="14" t="s">
        <v>896</v>
      </c>
      <c r="B6" s="13" t="s">
        <v>74</v>
      </c>
      <c r="C6" s="13" t="s">
        <v>132</v>
      </c>
      <c r="D6" s="14" t="str">
        <f>IFERROR(INDEX(Case_study!$B$4:$B$15,MATCH(C6,Case_study!$A$4:$A$15,0)),"")</f>
        <v>Dẫn đường</v>
      </c>
      <c r="E6" s="14" t="s">
        <v>897</v>
      </c>
      <c r="F6" s="14" t="s">
        <v>898</v>
      </c>
      <c r="G6" s="14" t="s">
        <v>899</v>
      </c>
      <c r="H6" s="14" t="s">
        <v>899</v>
      </c>
      <c r="I6" s="14" t="s">
        <v>887</v>
      </c>
      <c r="J6" s="14"/>
      <c r="K6" s="14" t="s">
        <v>900</v>
      </c>
      <c r="L6" s="14" t="s">
        <v>901</v>
      </c>
      <c r="M6" s="14" t="s">
        <v>890</v>
      </c>
      <c r="N6" s="14" t="s">
        <v>902</v>
      </c>
      <c r="O6" s="13">
        <f t="shared" si="0"/>
        <v>7</v>
      </c>
      <c r="P6" s="14" t="str">
        <f t="shared" si="1"/>
        <v>Ngắn (4–8)</v>
      </c>
      <c r="Q6" s="13">
        <f>ROUND(O6/Tong_quan!$B$40,1)</f>
        <v>1.6</v>
      </c>
      <c r="R6" s="14"/>
    </row>
    <row r="7" spans="1:18" x14ac:dyDescent="0.3">
      <c r="A7" s="14" t="s">
        <v>903</v>
      </c>
      <c r="B7" s="13" t="s">
        <v>74</v>
      </c>
      <c r="C7" s="13" t="s">
        <v>132</v>
      </c>
      <c r="D7" s="14" t="str">
        <f>IFERROR(INDEX(Case_study!$B$4:$B$15,MATCH(C7,Case_study!$A$4:$A$15,0)),"")</f>
        <v>Dẫn đường</v>
      </c>
      <c r="E7" s="14" t="s">
        <v>904</v>
      </c>
      <c r="F7" s="14" t="s">
        <v>898</v>
      </c>
      <c r="G7" s="14" t="s">
        <v>905</v>
      </c>
      <c r="H7" s="14" t="s">
        <v>905</v>
      </c>
      <c r="I7" s="14" t="s">
        <v>887</v>
      </c>
      <c r="J7" s="14"/>
      <c r="K7" s="14" t="s">
        <v>895</v>
      </c>
      <c r="L7" s="14" t="s">
        <v>895</v>
      </c>
      <c r="M7" s="14" t="s">
        <v>890</v>
      </c>
      <c r="N7" s="14" t="s">
        <v>906</v>
      </c>
      <c r="O7" s="13">
        <f t="shared" si="0"/>
        <v>8</v>
      </c>
      <c r="P7" s="14" t="str">
        <f t="shared" si="1"/>
        <v>Ngắn (4–8)</v>
      </c>
      <c r="Q7" s="13">
        <f>ROUND(O7/Tong_quan!$B$40,1)</f>
        <v>1.8</v>
      </c>
      <c r="R7" s="14" t="s">
        <v>891</v>
      </c>
    </row>
    <row r="8" spans="1:18" x14ac:dyDescent="0.3">
      <c r="A8" s="14" t="s">
        <v>907</v>
      </c>
      <c r="B8" s="13" t="s">
        <v>74</v>
      </c>
      <c r="C8" s="13" t="s">
        <v>132</v>
      </c>
      <c r="D8" s="14" t="str">
        <f>IFERROR(INDEX(Case_study!$B$4:$B$15,MATCH(C8,Case_study!$A$4:$A$15,0)),"")</f>
        <v>Dẫn đường</v>
      </c>
      <c r="E8" s="14" t="s">
        <v>908</v>
      </c>
      <c r="F8" s="14" t="s">
        <v>884</v>
      </c>
      <c r="G8" s="14" t="s">
        <v>909</v>
      </c>
      <c r="H8" s="14" t="s">
        <v>909</v>
      </c>
      <c r="I8" s="14" t="s">
        <v>887</v>
      </c>
      <c r="J8" s="14"/>
      <c r="K8" s="14" t="s">
        <v>895</v>
      </c>
      <c r="L8" s="14" t="s">
        <v>895</v>
      </c>
      <c r="M8" s="14" t="s">
        <v>890</v>
      </c>
      <c r="N8" s="14" t="s">
        <v>581</v>
      </c>
      <c r="O8" s="13">
        <f t="shared" si="0"/>
        <v>6</v>
      </c>
      <c r="P8" s="14" t="str">
        <f t="shared" si="1"/>
        <v>Ngắn (4–8)</v>
      </c>
      <c r="Q8" s="13">
        <f>ROUND(O8/Tong_quan!$B$40,1)</f>
        <v>1.3</v>
      </c>
      <c r="R8" s="14" t="s">
        <v>891</v>
      </c>
    </row>
    <row r="9" spans="1:18" x14ac:dyDescent="0.3">
      <c r="A9" s="14" t="s">
        <v>910</v>
      </c>
      <c r="B9" s="13" t="s">
        <v>74</v>
      </c>
      <c r="C9" s="13" t="s">
        <v>132</v>
      </c>
      <c r="D9" s="14" t="str">
        <f>IFERROR(INDEX(Case_study!$B$4:$B$15,MATCH(C9,Case_study!$A$4:$A$15,0)),"")</f>
        <v>Dẫn đường</v>
      </c>
      <c r="E9" s="14" t="s">
        <v>908</v>
      </c>
      <c r="F9" s="14" t="s">
        <v>884</v>
      </c>
      <c r="G9" s="14" t="s">
        <v>911</v>
      </c>
      <c r="H9" s="14" t="s">
        <v>911</v>
      </c>
      <c r="I9" s="14" t="s">
        <v>887</v>
      </c>
      <c r="J9" s="14"/>
      <c r="K9" s="14" t="s">
        <v>889</v>
      </c>
      <c r="L9" s="14" t="s">
        <v>889</v>
      </c>
      <c r="M9" s="14" t="s">
        <v>890</v>
      </c>
      <c r="N9" s="14" t="s">
        <v>581</v>
      </c>
      <c r="O9" s="13">
        <f t="shared" si="0"/>
        <v>6</v>
      </c>
      <c r="P9" s="14" t="str">
        <f t="shared" si="1"/>
        <v>Ngắn (4–8)</v>
      </c>
      <c r="Q9" s="13">
        <f>ROUND(O9/Tong_quan!$B$40,1)</f>
        <v>1.3</v>
      </c>
      <c r="R9" s="14" t="s">
        <v>891</v>
      </c>
    </row>
    <row r="10" spans="1:18" ht="26.4" x14ac:dyDescent="0.3">
      <c r="A10" s="14" t="s">
        <v>912</v>
      </c>
      <c r="B10" s="13" t="s">
        <v>74</v>
      </c>
      <c r="C10" s="13" t="s">
        <v>132</v>
      </c>
      <c r="D10" s="14" t="str">
        <f>IFERROR(INDEX(Case_study!$B$4:$B$15,MATCH(C10,Case_study!$A$4:$A$15,0)),"")</f>
        <v>Dẫn đường</v>
      </c>
      <c r="E10" s="14" t="s">
        <v>913</v>
      </c>
      <c r="F10" s="14" t="s">
        <v>898</v>
      </c>
      <c r="G10" s="14" t="s">
        <v>914</v>
      </c>
      <c r="H10" s="14" t="s">
        <v>914</v>
      </c>
      <c r="I10" s="14" t="s">
        <v>887</v>
      </c>
      <c r="J10" s="14" t="s">
        <v>915</v>
      </c>
      <c r="K10" s="14" t="s">
        <v>900</v>
      </c>
      <c r="L10" s="14" t="s">
        <v>916</v>
      </c>
      <c r="M10" s="14" t="s">
        <v>890</v>
      </c>
      <c r="N10" s="14" t="s">
        <v>917</v>
      </c>
      <c r="O10" s="13">
        <f t="shared" si="0"/>
        <v>5</v>
      </c>
      <c r="P10" s="14" t="str">
        <f t="shared" si="1"/>
        <v>Ngắn (4–8)</v>
      </c>
      <c r="Q10" s="13">
        <f>ROUND(O10/Tong_quan!$B$40,1)</f>
        <v>1.1000000000000001</v>
      </c>
      <c r="R10" s="14" t="s">
        <v>918</v>
      </c>
    </row>
    <row r="11" spans="1:18" ht="26.4" x14ac:dyDescent="0.3">
      <c r="A11" s="14" t="s">
        <v>919</v>
      </c>
      <c r="B11" s="13" t="s">
        <v>74</v>
      </c>
      <c r="C11" s="13" t="s">
        <v>132</v>
      </c>
      <c r="D11" s="14" t="str">
        <f>IFERROR(INDEX(Case_study!$B$4:$B$15,MATCH(C11,Case_study!$A$4:$A$15,0)),"")</f>
        <v>Dẫn đường</v>
      </c>
      <c r="E11" s="14" t="s">
        <v>920</v>
      </c>
      <c r="F11" s="14" t="s">
        <v>884</v>
      </c>
      <c r="G11" s="14" t="s">
        <v>921</v>
      </c>
      <c r="H11" s="14" t="s">
        <v>921</v>
      </c>
      <c r="I11" s="14" t="s">
        <v>887</v>
      </c>
      <c r="J11" s="14"/>
      <c r="K11" s="14" t="s">
        <v>900</v>
      </c>
      <c r="L11" s="14" t="s">
        <v>901</v>
      </c>
      <c r="M11" s="14" t="s">
        <v>890</v>
      </c>
      <c r="N11" s="14" t="s">
        <v>665</v>
      </c>
      <c r="O11" s="13">
        <f t="shared" si="0"/>
        <v>3</v>
      </c>
      <c r="P11" s="14" t="str">
        <f t="shared" si="1"/>
        <v>Rất ngắn (≤3)</v>
      </c>
      <c r="Q11" s="13">
        <f>ROUND(O11/Tong_quan!$B$40,1)</f>
        <v>0.7</v>
      </c>
      <c r="R11" s="14"/>
    </row>
    <row r="12" spans="1:18" ht="26.4" x14ac:dyDescent="0.3">
      <c r="A12" s="14" t="s">
        <v>922</v>
      </c>
      <c r="B12" s="13" t="s">
        <v>74</v>
      </c>
      <c r="C12" s="13" t="s">
        <v>140</v>
      </c>
      <c r="D12" s="14" t="str">
        <f>IFERROR(INDEX(Case_study!$B$4:$B$15,MATCH(C12,Case_study!$A$4:$A$15,0)),"")</f>
        <v>Cảnh báo an toàn (ADAS)</v>
      </c>
      <c r="E12" s="14" t="s">
        <v>923</v>
      </c>
      <c r="F12" s="14" t="s">
        <v>884</v>
      </c>
      <c r="G12" s="14" t="s">
        <v>924</v>
      </c>
      <c r="H12" s="14" t="s">
        <v>924</v>
      </c>
      <c r="I12" s="14" t="s">
        <v>887</v>
      </c>
      <c r="J12" s="14"/>
      <c r="K12" s="14" t="s">
        <v>900</v>
      </c>
      <c r="L12" s="14" t="s">
        <v>901</v>
      </c>
      <c r="M12" s="14" t="s">
        <v>890</v>
      </c>
      <c r="N12" s="14" t="s">
        <v>665</v>
      </c>
      <c r="O12" s="13">
        <f t="shared" si="0"/>
        <v>5</v>
      </c>
      <c r="P12" s="14" t="str">
        <f t="shared" si="1"/>
        <v>Ngắn (4–8)</v>
      </c>
      <c r="Q12" s="13">
        <f>ROUND(O12/Tong_quan!$B$40,1)</f>
        <v>1.1000000000000001</v>
      </c>
      <c r="R12" s="14"/>
    </row>
    <row r="13" spans="1:18" ht="26.4" x14ac:dyDescent="0.3">
      <c r="A13" s="14" t="s">
        <v>925</v>
      </c>
      <c r="B13" s="13" t="s">
        <v>74</v>
      </c>
      <c r="C13" s="13" t="s">
        <v>140</v>
      </c>
      <c r="D13" s="14" t="str">
        <f>IFERROR(INDEX(Case_study!$B$4:$B$15,MATCH(C13,Case_study!$A$4:$A$15,0)),"")</f>
        <v>Cảnh báo an toàn (ADAS)</v>
      </c>
      <c r="E13" s="14" t="s">
        <v>926</v>
      </c>
      <c r="F13" s="14" t="s">
        <v>927</v>
      </c>
      <c r="G13" s="14" t="s">
        <v>928</v>
      </c>
      <c r="H13" s="14" t="s">
        <v>928</v>
      </c>
      <c r="I13" s="14" t="s">
        <v>887</v>
      </c>
      <c r="J13" s="14"/>
      <c r="K13" s="14" t="s">
        <v>900</v>
      </c>
      <c r="L13" s="14" t="s">
        <v>901</v>
      </c>
      <c r="M13" s="14" t="s">
        <v>929</v>
      </c>
      <c r="N13" s="14" t="s">
        <v>930</v>
      </c>
      <c r="O13" s="13">
        <f t="shared" si="0"/>
        <v>7</v>
      </c>
      <c r="P13" s="14" t="str">
        <f t="shared" si="1"/>
        <v>Ngắn (4–8)</v>
      </c>
      <c r="Q13" s="13">
        <f>ROUND(O13/Tong_quan!$B$40,1)</f>
        <v>1.6</v>
      </c>
      <c r="R13" s="14" t="s">
        <v>931</v>
      </c>
    </row>
    <row r="14" spans="1:18" ht="26.4" x14ac:dyDescent="0.3">
      <c r="A14" s="14" t="s">
        <v>932</v>
      </c>
      <c r="B14" s="13" t="s">
        <v>74</v>
      </c>
      <c r="C14" s="13" t="s">
        <v>150</v>
      </c>
      <c r="D14" s="14" t="str">
        <f>IFERROR(INDEX(Case_study!$B$4:$B$15,MATCH(C14,Case_study!$A$4:$A$15,0)),"")</f>
        <v>Điều khiển xe</v>
      </c>
      <c r="E14" s="14" t="s">
        <v>933</v>
      </c>
      <c r="F14" s="14" t="s">
        <v>884</v>
      </c>
      <c r="G14" s="14" t="s">
        <v>934</v>
      </c>
      <c r="H14" s="14" t="s">
        <v>935</v>
      </c>
      <c r="I14" s="14" t="s">
        <v>887</v>
      </c>
      <c r="J14" s="14" t="s">
        <v>936</v>
      </c>
      <c r="K14" s="14" t="s">
        <v>900</v>
      </c>
      <c r="L14" s="14" t="s">
        <v>901</v>
      </c>
      <c r="M14" s="14" t="s">
        <v>890</v>
      </c>
      <c r="N14" s="14" t="s">
        <v>750</v>
      </c>
      <c r="O14" s="13">
        <f t="shared" si="0"/>
        <v>9</v>
      </c>
      <c r="P14" s="14" t="str">
        <f t="shared" si="1"/>
        <v>Thường (&gt;8)</v>
      </c>
      <c r="Q14" s="13">
        <f>ROUND(O14/Tong_quan!$B$40,1)</f>
        <v>2</v>
      </c>
      <c r="R14" s="14"/>
    </row>
    <row r="15" spans="1:18" x14ac:dyDescent="0.3">
      <c r="A15" s="14" t="s">
        <v>937</v>
      </c>
      <c r="B15" s="13" t="s">
        <v>74</v>
      </c>
      <c r="C15" s="13" t="s">
        <v>150</v>
      </c>
      <c r="D15" s="14" t="str">
        <f>IFERROR(INDEX(Case_study!$B$4:$B$15,MATCH(C15,Case_study!$A$4:$A$15,0)),"")</f>
        <v>Điều khiển xe</v>
      </c>
      <c r="E15" s="14" t="s">
        <v>752</v>
      </c>
      <c r="F15" s="14" t="s">
        <v>884</v>
      </c>
      <c r="G15" s="14" t="s">
        <v>938</v>
      </c>
      <c r="H15" s="14" t="s">
        <v>938</v>
      </c>
      <c r="I15" s="14" t="s">
        <v>887</v>
      </c>
      <c r="J15" s="14"/>
      <c r="K15" s="14" t="s">
        <v>889</v>
      </c>
      <c r="L15" s="14" t="s">
        <v>889</v>
      </c>
      <c r="M15" s="14" t="s">
        <v>890</v>
      </c>
      <c r="N15" s="14" t="s">
        <v>939</v>
      </c>
      <c r="O15" s="13">
        <f t="shared" si="0"/>
        <v>7</v>
      </c>
      <c r="P15" s="14" t="str">
        <f t="shared" si="1"/>
        <v>Ngắn (4–8)</v>
      </c>
      <c r="Q15" s="13">
        <f>ROUND(O15/Tong_quan!$B$40,1)</f>
        <v>1.6</v>
      </c>
      <c r="R15" s="14" t="s">
        <v>891</v>
      </c>
    </row>
    <row r="16" spans="1:18" x14ac:dyDescent="0.3">
      <c r="A16" s="14" t="s">
        <v>940</v>
      </c>
      <c r="B16" s="13" t="s">
        <v>74</v>
      </c>
      <c r="C16" s="13" t="s">
        <v>150</v>
      </c>
      <c r="D16" s="14" t="str">
        <f>IFERROR(INDEX(Case_study!$B$4:$B$15,MATCH(C16,Case_study!$A$4:$A$15,0)),"")</f>
        <v>Điều khiển xe</v>
      </c>
      <c r="E16" s="14" t="s">
        <v>752</v>
      </c>
      <c r="F16" s="14" t="s">
        <v>884</v>
      </c>
      <c r="G16" s="14" t="s">
        <v>941</v>
      </c>
      <c r="H16" s="14" t="s">
        <v>941</v>
      </c>
      <c r="I16" s="14" t="s">
        <v>887</v>
      </c>
      <c r="J16" s="14"/>
      <c r="K16" s="14" t="s">
        <v>895</v>
      </c>
      <c r="L16" s="14" t="s">
        <v>895</v>
      </c>
      <c r="M16" s="14" t="s">
        <v>890</v>
      </c>
      <c r="N16" s="14" t="s">
        <v>761</v>
      </c>
      <c r="O16" s="13">
        <f t="shared" si="0"/>
        <v>8</v>
      </c>
      <c r="P16" s="14" t="str">
        <f t="shared" si="1"/>
        <v>Ngắn (4–8)</v>
      </c>
      <c r="Q16" s="13">
        <f>ROUND(O16/Tong_quan!$B$40,1)</f>
        <v>1.8</v>
      </c>
      <c r="R16" s="14" t="s">
        <v>891</v>
      </c>
    </row>
    <row r="17" spans="1:18" ht="26.4" x14ac:dyDescent="0.3">
      <c r="A17" s="14" t="s">
        <v>942</v>
      </c>
      <c r="B17" s="13" t="s">
        <v>74</v>
      </c>
      <c r="C17" s="13" t="s">
        <v>150</v>
      </c>
      <c r="D17" s="14" t="str">
        <f>IFERROR(INDEX(Case_study!$B$4:$B$15,MATCH(C17,Case_study!$A$4:$A$15,0)),"")</f>
        <v>Điều khiển xe</v>
      </c>
      <c r="E17" s="14" t="s">
        <v>943</v>
      </c>
      <c r="F17" s="14" t="s">
        <v>884</v>
      </c>
      <c r="G17" s="14" t="s">
        <v>944</v>
      </c>
      <c r="H17" s="14" t="s">
        <v>945</v>
      </c>
      <c r="I17" s="14" t="s">
        <v>887</v>
      </c>
      <c r="J17" s="14" t="s">
        <v>748</v>
      </c>
      <c r="K17" s="14" t="s">
        <v>900</v>
      </c>
      <c r="L17" s="14" t="s">
        <v>901</v>
      </c>
      <c r="M17" s="14" t="s">
        <v>890</v>
      </c>
      <c r="N17" s="14" t="s">
        <v>750</v>
      </c>
      <c r="O17" s="13">
        <f t="shared" si="0"/>
        <v>5</v>
      </c>
      <c r="P17" s="14" t="str">
        <f t="shared" si="1"/>
        <v>Ngắn (4–8)</v>
      </c>
      <c r="Q17" s="13">
        <f>ROUND(O17/Tong_quan!$B$40,1)</f>
        <v>1.1000000000000001</v>
      </c>
      <c r="R17" s="14"/>
    </row>
    <row r="18" spans="1:18" x14ac:dyDescent="0.3">
      <c r="A18" s="14" t="s">
        <v>946</v>
      </c>
      <c r="B18" s="13" t="s">
        <v>74</v>
      </c>
      <c r="C18" s="13" t="s">
        <v>150</v>
      </c>
      <c r="D18" s="14" t="str">
        <f>IFERROR(INDEX(Case_study!$B$4:$B$15,MATCH(C18,Case_study!$A$4:$A$15,0)),"")</f>
        <v>Điều khiển xe</v>
      </c>
      <c r="E18" s="14" t="s">
        <v>763</v>
      </c>
      <c r="F18" s="14" t="s">
        <v>884</v>
      </c>
      <c r="G18" s="14" t="s">
        <v>947</v>
      </c>
      <c r="H18" s="14" t="s">
        <v>948</v>
      </c>
      <c r="I18" s="14" t="s">
        <v>887</v>
      </c>
      <c r="J18" s="14" t="s">
        <v>936</v>
      </c>
      <c r="K18" s="14" t="s">
        <v>889</v>
      </c>
      <c r="L18" s="14" t="s">
        <v>889</v>
      </c>
      <c r="M18" s="14" t="s">
        <v>890</v>
      </c>
      <c r="N18" s="14" t="s">
        <v>949</v>
      </c>
      <c r="O18" s="13">
        <f t="shared" si="0"/>
        <v>6</v>
      </c>
      <c r="P18" s="14" t="str">
        <f t="shared" si="1"/>
        <v>Ngắn (4–8)</v>
      </c>
      <c r="Q18" s="13">
        <f>ROUND(O18/Tong_quan!$B$40,1)</f>
        <v>1.3</v>
      </c>
      <c r="R18" s="14" t="s">
        <v>891</v>
      </c>
    </row>
    <row r="19" spans="1:18" x14ac:dyDescent="0.3">
      <c r="A19" s="14" t="s">
        <v>950</v>
      </c>
      <c r="B19" s="13" t="s">
        <v>74</v>
      </c>
      <c r="C19" s="13" t="s">
        <v>150</v>
      </c>
      <c r="D19" s="14" t="str">
        <f>IFERROR(INDEX(Case_study!$B$4:$B$15,MATCH(C19,Case_study!$A$4:$A$15,0)),"")</f>
        <v>Điều khiển xe</v>
      </c>
      <c r="E19" s="14" t="s">
        <v>763</v>
      </c>
      <c r="F19" s="14" t="s">
        <v>884</v>
      </c>
      <c r="G19" s="14" t="s">
        <v>951</v>
      </c>
      <c r="H19" s="14" t="s">
        <v>952</v>
      </c>
      <c r="I19" s="14" t="s">
        <v>887</v>
      </c>
      <c r="J19" s="14" t="s">
        <v>936</v>
      </c>
      <c r="K19" s="14" t="s">
        <v>895</v>
      </c>
      <c r="L19" s="14" t="s">
        <v>895</v>
      </c>
      <c r="M19" s="14" t="s">
        <v>890</v>
      </c>
      <c r="N19" s="14" t="s">
        <v>949</v>
      </c>
      <c r="O19" s="13">
        <f t="shared" si="0"/>
        <v>6</v>
      </c>
      <c r="P19" s="14" t="str">
        <f t="shared" si="1"/>
        <v>Ngắn (4–8)</v>
      </c>
      <c r="Q19" s="13">
        <f>ROUND(O19/Tong_quan!$B$40,1)</f>
        <v>1.3</v>
      </c>
      <c r="R19" s="14" t="s">
        <v>891</v>
      </c>
    </row>
    <row r="20" spans="1:18" ht="26.4" x14ac:dyDescent="0.3">
      <c r="A20" s="14" t="s">
        <v>953</v>
      </c>
      <c r="B20" s="13" t="s">
        <v>74</v>
      </c>
      <c r="C20" s="13" t="s">
        <v>150</v>
      </c>
      <c r="D20" s="14" t="str">
        <f>IFERROR(INDEX(Case_study!$B$4:$B$15,MATCH(C20,Case_study!$A$4:$A$15,0)),"")</f>
        <v>Điều khiển xe</v>
      </c>
      <c r="E20" s="14" t="s">
        <v>763</v>
      </c>
      <c r="F20" s="14" t="s">
        <v>927</v>
      </c>
      <c r="G20" s="14" t="s">
        <v>954</v>
      </c>
      <c r="H20" s="14" t="s">
        <v>954</v>
      </c>
      <c r="I20" s="14" t="s">
        <v>955</v>
      </c>
      <c r="J20" s="14" t="s">
        <v>956</v>
      </c>
      <c r="K20" s="14" t="s">
        <v>900</v>
      </c>
      <c r="L20" s="14" t="s">
        <v>901</v>
      </c>
      <c r="M20" s="14" t="s">
        <v>890</v>
      </c>
      <c r="N20" s="14" t="s">
        <v>957</v>
      </c>
      <c r="O20" s="13">
        <f t="shared" si="0"/>
        <v>4</v>
      </c>
      <c r="P20" s="14" t="str">
        <f t="shared" si="1"/>
        <v>Ngắn (4–8)</v>
      </c>
      <c r="Q20" s="13">
        <f>ROUND(O20/Tong_quan!$B$40,1)</f>
        <v>0.9</v>
      </c>
      <c r="R20" s="14" t="s">
        <v>958</v>
      </c>
    </row>
    <row r="21" spans="1:18" ht="26.4" x14ac:dyDescent="0.3">
      <c r="A21" s="14" t="s">
        <v>959</v>
      </c>
      <c r="B21" s="13" t="s">
        <v>74</v>
      </c>
      <c r="C21" s="13" t="s">
        <v>150</v>
      </c>
      <c r="D21" s="14" t="str">
        <f>IFERROR(INDEX(Case_study!$B$4:$B$15,MATCH(C21,Case_study!$A$4:$A$15,0)),"")</f>
        <v>Điều khiển xe</v>
      </c>
      <c r="E21" s="14" t="s">
        <v>960</v>
      </c>
      <c r="F21" s="14" t="s">
        <v>884</v>
      </c>
      <c r="G21" s="14" t="s">
        <v>961</v>
      </c>
      <c r="H21" s="14" t="s">
        <v>962</v>
      </c>
      <c r="I21" s="14" t="s">
        <v>887</v>
      </c>
      <c r="J21" s="14" t="s">
        <v>748</v>
      </c>
      <c r="K21" s="14" t="s">
        <v>900</v>
      </c>
      <c r="L21" s="14" t="s">
        <v>901</v>
      </c>
      <c r="M21" s="14" t="s">
        <v>890</v>
      </c>
      <c r="N21" s="14" t="s">
        <v>750</v>
      </c>
      <c r="O21" s="13">
        <f t="shared" si="0"/>
        <v>6</v>
      </c>
      <c r="P21" s="14" t="str">
        <f t="shared" si="1"/>
        <v>Ngắn (4–8)</v>
      </c>
      <c r="Q21" s="13">
        <f>ROUND(O21/Tong_quan!$B$40,1)</f>
        <v>1.3</v>
      </c>
      <c r="R21" s="14"/>
    </row>
    <row r="22" spans="1:18" ht="26.4" x14ac:dyDescent="0.3">
      <c r="A22" s="14" t="s">
        <v>963</v>
      </c>
      <c r="B22" s="13" t="s">
        <v>74</v>
      </c>
      <c r="C22" s="13" t="s">
        <v>150</v>
      </c>
      <c r="D22" s="14" t="str">
        <f>IFERROR(INDEX(Case_study!$B$4:$B$15,MATCH(C22,Case_study!$A$4:$A$15,0)),"")</f>
        <v>Điều khiển xe</v>
      </c>
      <c r="E22" s="14" t="s">
        <v>964</v>
      </c>
      <c r="F22" s="14" t="s">
        <v>884</v>
      </c>
      <c r="G22" s="14" t="s">
        <v>965</v>
      </c>
      <c r="H22" s="14" t="s">
        <v>965</v>
      </c>
      <c r="I22" s="14" t="s">
        <v>887</v>
      </c>
      <c r="J22" s="14"/>
      <c r="K22" s="14" t="s">
        <v>900</v>
      </c>
      <c r="L22" s="14" t="s">
        <v>901</v>
      </c>
      <c r="M22" s="14" t="s">
        <v>890</v>
      </c>
      <c r="N22" s="14" t="s">
        <v>665</v>
      </c>
      <c r="O22" s="13">
        <f t="shared" si="0"/>
        <v>4</v>
      </c>
      <c r="P22" s="14" t="str">
        <f t="shared" si="1"/>
        <v>Ngắn (4–8)</v>
      </c>
      <c r="Q22" s="13">
        <f>ROUND(O22/Tong_quan!$B$40,1)</f>
        <v>0.9</v>
      </c>
      <c r="R22" s="14"/>
    </row>
    <row r="23" spans="1:18" ht="26.4" x14ac:dyDescent="0.3">
      <c r="A23" s="14" t="s">
        <v>966</v>
      </c>
      <c r="B23" s="13" t="s">
        <v>74</v>
      </c>
      <c r="C23" s="13" t="s">
        <v>159</v>
      </c>
      <c r="D23" s="14" t="str">
        <f>IFERROR(INDEX(Case_study!$B$4:$B$15,MATCH(C23,Case_study!$A$4:$A$15,0)),"")</f>
        <v>Giải trí (nhạc, radio)</v>
      </c>
      <c r="E23" s="14" t="s">
        <v>967</v>
      </c>
      <c r="F23" s="14" t="s">
        <v>884</v>
      </c>
      <c r="G23" s="14" t="s">
        <v>968</v>
      </c>
      <c r="H23" s="14" t="s">
        <v>968</v>
      </c>
      <c r="I23" s="14" t="s">
        <v>955</v>
      </c>
      <c r="J23" s="14" t="s">
        <v>969</v>
      </c>
      <c r="K23" s="14" t="s">
        <v>900</v>
      </c>
      <c r="L23" s="14" t="s">
        <v>901</v>
      </c>
      <c r="M23" s="14" t="s">
        <v>890</v>
      </c>
      <c r="N23" s="14" t="s">
        <v>777</v>
      </c>
      <c r="O23" s="13">
        <f t="shared" si="0"/>
        <v>7</v>
      </c>
      <c r="P23" s="14" t="str">
        <f t="shared" si="1"/>
        <v>Ngắn (4–8)</v>
      </c>
      <c r="Q23" s="13">
        <f>ROUND(O23/Tong_quan!$B$40,1)</f>
        <v>1.6</v>
      </c>
      <c r="R23" s="14"/>
    </row>
    <row r="24" spans="1:18" ht="26.4" x14ac:dyDescent="0.3">
      <c r="A24" s="14" t="s">
        <v>970</v>
      </c>
      <c r="B24" s="13" t="s">
        <v>74</v>
      </c>
      <c r="C24" s="13" t="s">
        <v>159</v>
      </c>
      <c r="D24" s="14" t="str">
        <f>IFERROR(INDEX(Case_study!$B$4:$B$15,MATCH(C24,Case_study!$A$4:$A$15,0)),"")</f>
        <v>Giải trí (nhạc, radio)</v>
      </c>
      <c r="E24" s="14" t="s">
        <v>971</v>
      </c>
      <c r="F24" s="14" t="s">
        <v>884</v>
      </c>
      <c r="G24" s="14" t="s">
        <v>972</v>
      </c>
      <c r="H24" s="14" t="s">
        <v>973</v>
      </c>
      <c r="I24" s="14" t="s">
        <v>955</v>
      </c>
      <c r="J24" s="14" t="s">
        <v>974</v>
      </c>
      <c r="K24" s="14" t="s">
        <v>900</v>
      </c>
      <c r="L24" s="14" t="s">
        <v>901</v>
      </c>
      <c r="M24" s="14" t="s">
        <v>890</v>
      </c>
      <c r="N24" s="14" t="s">
        <v>786</v>
      </c>
      <c r="O24" s="13">
        <f t="shared" si="0"/>
        <v>16</v>
      </c>
      <c r="P24" s="14" t="str">
        <f t="shared" si="1"/>
        <v>Thường (&gt;8)</v>
      </c>
      <c r="Q24" s="13">
        <f>ROUND(O24/Tong_quan!$B$40,1)</f>
        <v>3.6</v>
      </c>
      <c r="R24" s="14"/>
    </row>
    <row r="25" spans="1:18" ht="26.4" x14ac:dyDescent="0.3">
      <c r="A25" s="14" t="s">
        <v>975</v>
      </c>
      <c r="B25" s="13" t="s">
        <v>74</v>
      </c>
      <c r="C25" s="13" t="s">
        <v>159</v>
      </c>
      <c r="D25" s="14" t="str">
        <f>IFERROR(INDEX(Case_study!$B$4:$B$15,MATCH(C25,Case_study!$A$4:$A$15,0)),"")</f>
        <v>Giải trí (nhạc, radio)</v>
      </c>
      <c r="E25" s="14" t="s">
        <v>976</v>
      </c>
      <c r="F25" s="14" t="s">
        <v>884</v>
      </c>
      <c r="G25" s="14" t="s">
        <v>977</v>
      </c>
      <c r="H25" s="14" t="s">
        <v>978</v>
      </c>
      <c r="I25" s="14" t="s">
        <v>887</v>
      </c>
      <c r="J25" s="14" t="s">
        <v>748</v>
      </c>
      <c r="K25" s="14" t="s">
        <v>900</v>
      </c>
      <c r="L25" s="14" t="s">
        <v>901</v>
      </c>
      <c r="M25" s="14" t="s">
        <v>979</v>
      </c>
      <c r="N25" s="14" t="s">
        <v>980</v>
      </c>
      <c r="O25" s="13">
        <f t="shared" si="0"/>
        <v>6</v>
      </c>
      <c r="P25" s="14" t="str">
        <f t="shared" si="1"/>
        <v>Ngắn (4–8)</v>
      </c>
      <c r="Q25" s="13">
        <f>ROUND(O25/Tong_quan!$B$40,1)</f>
        <v>1.3</v>
      </c>
      <c r="R25" s="14"/>
    </row>
    <row r="26" spans="1:18" x14ac:dyDescent="0.3">
      <c r="A26" s="14" t="s">
        <v>981</v>
      </c>
      <c r="B26" s="13" t="s">
        <v>74</v>
      </c>
      <c r="C26" s="13" t="s">
        <v>159</v>
      </c>
      <c r="D26" s="14" t="str">
        <f>IFERROR(INDEX(Case_study!$B$4:$B$15,MATCH(C26,Case_study!$A$4:$A$15,0)),"")</f>
        <v>Giải trí (nhạc, radio)</v>
      </c>
      <c r="E26" s="14" t="s">
        <v>982</v>
      </c>
      <c r="F26" s="14" t="s">
        <v>898</v>
      </c>
      <c r="G26" s="14" t="s">
        <v>983</v>
      </c>
      <c r="H26" s="14" t="s">
        <v>983</v>
      </c>
      <c r="I26" s="14" t="s">
        <v>887</v>
      </c>
      <c r="J26" s="14"/>
      <c r="K26" s="14" t="s">
        <v>895</v>
      </c>
      <c r="L26" s="14" t="s">
        <v>895</v>
      </c>
      <c r="M26" s="14" t="s">
        <v>890</v>
      </c>
      <c r="N26" s="14" t="s">
        <v>906</v>
      </c>
      <c r="O26" s="13">
        <f t="shared" si="0"/>
        <v>5</v>
      </c>
      <c r="P26" s="14" t="str">
        <f t="shared" si="1"/>
        <v>Ngắn (4–8)</v>
      </c>
      <c r="Q26" s="13">
        <f>ROUND(O26/Tong_quan!$B$40,1)</f>
        <v>1.1000000000000001</v>
      </c>
      <c r="R26" s="14" t="s">
        <v>891</v>
      </c>
    </row>
    <row r="27" spans="1:18" ht="26.4" x14ac:dyDescent="0.3">
      <c r="A27" s="14" t="s">
        <v>984</v>
      </c>
      <c r="B27" s="13" t="s">
        <v>74</v>
      </c>
      <c r="C27" s="13" t="s">
        <v>159</v>
      </c>
      <c r="D27" s="14" t="str">
        <f>IFERROR(INDEX(Case_study!$B$4:$B$15,MATCH(C27,Case_study!$A$4:$A$15,0)),"")</f>
        <v>Giải trí (nhạc, radio)</v>
      </c>
      <c r="E27" s="14" t="s">
        <v>985</v>
      </c>
      <c r="F27" s="14" t="s">
        <v>884</v>
      </c>
      <c r="G27" s="14" t="s">
        <v>986</v>
      </c>
      <c r="H27" s="14" t="s">
        <v>986</v>
      </c>
      <c r="I27" s="14" t="s">
        <v>887</v>
      </c>
      <c r="J27" s="14"/>
      <c r="K27" s="14" t="s">
        <v>900</v>
      </c>
      <c r="L27" s="14" t="s">
        <v>901</v>
      </c>
      <c r="M27" s="14" t="s">
        <v>890</v>
      </c>
      <c r="N27" s="14" t="s">
        <v>665</v>
      </c>
      <c r="O27" s="13">
        <f t="shared" si="0"/>
        <v>4</v>
      </c>
      <c r="P27" s="14" t="str">
        <f t="shared" si="1"/>
        <v>Ngắn (4–8)</v>
      </c>
      <c r="Q27" s="13">
        <f>ROUND(O27/Tong_quan!$B$40,1)</f>
        <v>0.9</v>
      </c>
      <c r="R27" s="14"/>
    </row>
    <row r="28" spans="1:18" ht="26.4" x14ac:dyDescent="0.3">
      <c r="A28" s="14" t="s">
        <v>987</v>
      </c>
      <c r="B28" s="13" t="s">
        <v>74</v>
      </c>
      <c r="C28" s="13" t="s">
        <v>167</v>
      </c>
      <c r="D28" s="14" t="str">
        <f>IFERROR(INDEX(Case_study!$B$4:$B$15,MATCH(C28,Case_study!$A$4:$A$15,0)),"")</f>
        <v>Điện thoại và tin nhắn</v>
      </c>
      <c r="E28" s="14" t="s">
        <v>988</v>
      </c>
      <c r="F28" s="14" t="s">
        <v>884</v>
      </c>
      <c r="G28" s="14" t="s">
        <v>989</v>
      </c>
      <c r="H28" s="14" t="s">
        <v>989</v>
      </c>
      <c r="I28" s="14" t="s">
        <v>887</v>
      </c>
      <c r="J28" s="14" t="s">
        <v>915</v>
      </c>
      <c r="K28" s="14" t="s">
        <v>900</v>
      </c>
      <c r="L28" s="14" t="s">
        <v>901</v>
      </c>
      <c r="M28" s="14" t="s">
        <v>890</v>
      </c>
      <c r="N28" s="14" t="s">
        <v>990</v>
      </c>
      <c r="O28" s="13">
        <f t="shared" si="0"/>
        <v>4</v>
      </c>
      <c r="P28" s="14" t="str">
        <f t="shared" si="1"/>
        <v>Ngắn (4–8)</v>
      </c>
      <c r="Q28" s="13">
        <f>ROUND(O28/Tong_quan!$B$40,1)</f>
        <v>0.9</v>
      </c>
      <c r="R28" s="14"/>
    </row>
    <row r="29" spans="1:18" ht="26.4" x14ac:dyDescent="0.3">
      <c r="A29" s="14" t="s">
        <v>991</v>
      </c>
      <c r="B29" s="13" t="s">
        <v>74</v>
      </c>
      <c r="C29" s="13" t="s">
        <v>167</v>
      </c>
      <c r="D29" s="14" t="str">
        <f>IFERROR(INDEX(Case_study!$B$4:$B$15,MATCH(C29,Case_study!$A$4:$A$15,0)),"")</f>
        <v>Điện thoại và tin nhắn</v>
      </c>
      <c r="E29" s="14" t="s">
        <v>992</v>
      </c>
      <c r="F29" s="14" t="s">
        <v>884</v>
      </c>
      <c r="G29" s="14" t="s">
        <v>993</v>
      </c>
      <c r="H29" s="14" t="s">
        <v>993</v>
      </c>
      <c r="I29" s="14" t="s">
        <v>887</v>
      </c>
      <c r="J29" s="14"/>
      <c r="K29" s="14" t="s">
        <v>916</v>
      </c>
      <c r="L29" s="14" t="s">
        <v>916</v>
      </c>
      <c r="M29" s="14" t="s">
        <v>890</v>
      </c>
      <c r="N29" s="14" t="s">
        <v>994</v>
      </c>
      <c r="O29" s="13">
        <f t="shared" si="0"/>
        <v>3</v>
      </c>
      <c r="P29" s="14" t="str">
        <f t="shared" si="1"/>
        <v>Rất ngắn (≤3)</v>
      </c>
      <c r="Q29" s="13">
        <f>ROUND(O29/Tong_quan!$B$40,1)</f>
        <v>0.7</v>
      </c>
      <c r="R29" s="14" t="s">
        <v>995</v>
      </c>
    </row>
    <row r="30" spans="1:18" x14ac:dyDescent="0.3">
      <c r="A30" s="14" t="s">
        <v>996</v>
      </c>
      <c r="B30" s="13" t="s">
        <v>74</v>
      </c>
      <c r="C30" s="13" t="s">
        <v>167</v>
      </c>
      <c r="D30" s="14" t="str">
        <f>IFERROR(INDEX(Case_study!$B$4:$B$15,MATCH(C30,Case_study!$A$4:$A$15,0)),"")</f>
        <v>Điện thoại và tin nhắn</v>
      </c>
      <c r="E30" s="14" t="s">
        <v>992</v>
      </c>
      <c r="F30" s="14" t="s">
        <v>884</v>
      </c>
      <c r="G30" s="14" t="s">
        <v>997</v>
      </c>
      <c r="H30" s="14" t="s">
        <v>997</v>
      </c>
      <c r="I30" s="14" t="s">
        <v>887</v>
      </c>
      <c r="J30" s="14"/>
      <c r="K30" s="14" t="s">
        <v>895</v>
      </c>
      <c r="L30" s="14" t="s">
        <v>895</v>
      </c>
      <c r="M30" s="14" t="s">
        <v>890</v>
      </c>
      <c r="N30" s="14" t="s">
        <v>994</v>
      </c>
      <c r="O30" s="13">
        <f t="shared" si="0"/>
        <v>3</v>
      </c>
      <c r="P30" s="14" t="str">
        <f t="shared" si="1"/>
        <v>Rất ngắn (≤3)</v>
      </c>
      <c r="Q30" s="13">
        <f>ROUND(O30/Tong_quan!$B$40,1)</f>
        <v>0.7</v>
      </c>
      <c r="R30" s="14" t="s">
        <v>891</v>
      </c>
    </row>
    <row r="31" spans="1:18" ht="26.4" x14ac:dyDescent="0.3">
      <c r="A31" s="14" t="s">
        <v>998</v>
      </c>
      <c r="B31" s="13" t="s">
        <v>74</v>
      </c>
      <c r="C31" s="13" t="s">
        <v>167</v>
      </c>
      <c r="D31" s="14" t="str">
        <f>IFERROR(INDEX(Case_study!$B$4:$B$15,MATCH(C31,Case_study!$A$4:$A$15,0)),"")</f>
        <v>Điện thoại và tin nhắn</v>
      </c>
      <c r="E31" s="14" t="s">
        <v>796</v>
      </c>
      <c r="F31" s="14" t="s">
        <v>884</v>
      </c>
      <c r="G31" s="14" t="s">
        <v>999</v>
      </c>
      <c r="H31" s="14" t="s">
        <v>1000</v>
      </c>
      <c r="I31" s="14" t="s">
        <v>887</v>
      </c>
      <c r="J31" s="14" t="s">
        <v>1001</v>
      </c>
      <c r="K31" s="14" t="s">
        <v>900</v>
      </c>
      <c r="L31" s="14" t="s">
        <v>901</v>
      </c>
      <c r="M31" s="14" t="s">
        <v>1002</v>
      </c>
      <c r="N31" s="14" t="s">
        <v>1003</v>
      </c>
      <c r="O31" s="13">
        <f t="shared" si="0"/>
        <v>12</v>
      </c>
      <c r="P31" s="14" t="str">
        <f t="shared" si="1"/>
        <v>Thường (&gt;8)</v>
      </c>
      <c r="Q31" s="13">
        <f>ROUND(O31/Tong_quan!$B$40,1)</f>
        <v>2.7</v>
      </c>
      <c r="R31" s="14"/>
    </row>
    <row r="32" spans="1:18" ht="26.4" x14ac:dyDescent="0.3">
      <c r="A32" s="14" t="s">
        <v>1004</v>
      </c>
      <c r="B32" s="13" t="s">
        <v>74</v>
      </c>
      <c r="C32" s="13" t="s">
        <v>167</v>
      </c>
      <c r="D32" s="14" t="str">
        <f>IFERROR(INDEX(Case_study!$B$4:$B$15,MATCH(C32,Case_study!$A$4:$A$15,0)),"")</f>
        <v>Điện thoại và tin nhắn</v>
      </c>
      <c r="E32" s="14" t="s">
        <v>1005</v>
      </c>
      <c r="F32" s="14" t="s">
        <v>884</v>
      </c>
      <c r="G32" s="14" t="s">
        <v>1006</v>
      </c>
      <c r="H32" s="14" t="s">
        <v>1006</v>
      </c>
      <c r="I32" s="14" t="s">
        <v>887</v>
      </c>
      <c r="J32" s="14"/>
      <c r="K32" s="14" t="s">
        <v>900</v>
      </c>
      <c r="L32" s="14" t="s">
        <v>901</v>
      </c>
      <c r="M32" s="14" t="s">
        <v>890</v>
      </c>
      <c r="N32" s="14" t="s">
        <v>1007</v>
      </c>
      <c r="O32" s="13">
        <f t="shared" si="0"/>
        <v>4</v>
      </c>
      <c r="P32" s="14" t="str">
        <f t="shared" si="1"/>
        <v>Ngắn (4–8)</v>
      </c>
      <c r="Q32" s="13">
        <f>ROUND(O32/Tong_quan!$B$40,1)</f>
        <v>0.9</v>
      </c>
      <c r="R32" s="14"/>
    </row>
    <row r="33" spans="1:18" ht="26.4" x14ac:dyDescent="0.3">
      <c r="A33" s="14" t="s">
        <v>1008</v>
      </c>
      <c r="B33" s="13" t="s">
        <v>74</v>
      </c>
      <c r="C33" s="13" t="s">
        <v>167</v>
      </c>
      <c r="D33" s="14" t="str">
        <f>IFERROR(INDEX(Case_study!$B$4:$B$15,MATCH(C33,Case_study!$A$4:$A$15,0)),"")</f>
        <v>Điện thoại và tin nhắn</v>
      </c>
      <c r="E33" s="14" t="s">
        <v>1009</v>
      </c>
      <c r="F33" s="14" t="s">
        <v>884</v>
      </c>
      <c r="G33" s="14" t="s">
        <v>1010</v>
      </c>
      <c r="H33" s="14" t="s">
        <v>1011</v>
      </c>
      <c r="I33" s="14" t="s">
        <v>887</v>
      </c>
      <c r="J33" s="14" t="s">
        <v>748</v>
      </c>
      <c r="K33" s="14" t="s">
        <v>900</v>
      </c>
      <c r="L33" s="14" t="s">
        <v>901</v>
      </c>
      <c r="M33" s="14" t="s">
        <v>890</v>
      </c>
      <c r="N33" s="14" t="s">
        <v>1012</v>
      </c>
      <c r="O33" s="13">
        <f t="shared" si="0"/>
        <v>10</v>
      </c>
      <c r="P33" s="14" t="str">
        <f t="shared" si="1"/>
        <v>Thường (&gt;8)</v>
      </c>
      <c r="Q33" s="13">
        <f>ROUND(O33/Tong_quan!$B$40,1)</f>
        <v>2.2000000000000002</v>
      </c>
      <c r="R33" s="14"/>
    </row>
    <row r="34" spans="1:18" ht="26.4" x14ac:dyDescent="0.3">
      <c r="A34" s="14" t="s">
        <v>1013</v>
      </c>
      <c r="B34" s="13" t="s">
        <v>74</v>
      </c>
      <c r="C34" s="13" t="s">
        <v>175</v>
      </c>
      <c r="D34" s="14" t="str">
        <f>IFERROR(INDEX(Case_study!$B$4:$B$15,MATCH(C34,Case_study!$A$4:$A$15,0)),"")</f>
        <v>Trạng thái xe và bảo dưỡng</v>
      </c>
      <c r="E34" s="14" t="s">
        <v>1014</v>
      </c>
      <c r="F34" s="14" t="s">
        <v>898</v>
      </c>
      <c r="G34" s="14" t="s">
        <v>1015</v>
      </c>
      <c r="H34" s="14" t="s">
        <v>1015</v>
      </c>
      <c r="I34" s="14" t="s">
        <v>887</v>
      </c>
      <c r="J34" s="14"/>
      <c r="K34" s="14" t="s">
        <v>900</v>
      </c>
      <c r="L34" s="14" t="s">
        <v>901</v>
      </c>
      <c r="M34" s="14" t="s">
        <v>890</v>
      </c>
      <c r="N34" s="14" t="s">
        <v>1016</v>
      </c>
      <c r="O34" s="13">
        <f t="shared" si="0"/>
        <v>8</v>
      </c>
      <c r="P34" s="14" t="str">
        <f t="shared" si="1"/>
        <v>Ngắn (4–8)</v>
      </c>
      <c r="Q34" s="13">
        <f>ROUND(O34/Tong_quan!$B$40,1)</f>
        <v>1.8</v>
      </c>
      <c r="R34" s="14"/>
    </row>
    <row r="35" spans="1:18" ht="26.4" x14ac:dyDescent="0.3">
      <c r="A35" s="14" t="s">
        <v>1017</v>
      </c>
      <c r="B35" s="13" t="s">
        <v>74</v>
      </c>
      <c r="C35" s="13" t="s">
        <v>175</v>
      </c>
      <c r="D35" s="14" t="str">
        <f>IFERROR(INDEX(Case_study!$B$4:$B$15,MATCH(C35,Case_study!$A$4:$A$15,0)),"")</f>
        <v>Trạng thái xe và bảo dưỡng</v>
      </c>
      <c r="E35" s="14" t="s">
        <v>1018</v>
      </c>
      <c r="F35" s="14" t="s">
        <v>898</v>
      </c>
      <c r="G35" s="14" t="s">
        <v>1019</v>
      </c>
      <c r="H35" s="14" t="s">
        <v>1019</v>
      </c>
      <c r="I35" s="14" t="s">
        <v>887</v>
      </c>
      <c r="J35" s="14"/>
      <c r="K35" s="14" t="s">
        <v>900</v>
      </c>
      <c r="L35" s="14" t="s">
        <v>901</v>
      </c>
      <c r="M35" s="14" t="s">
        <v>890</v>
      </c>
      <c r="N35" s="14" t="s">
        <v>665</v>
      </c>
      <c r="O35" s="13">
        <f t="shared" si="0"/>
        <v>4</v>
      </c>
      <c r="P35" s="14" t="str">
        <f t="shared" si="1"/>
        <v>Ngắn (4–8)</v>
      </c>
      <c r="Q35" s="13">
        <f>ROUND(O35/Tong_quan!$B$40,1)</f>
        <v>0.9</v>
      </c>
      <c r="R35" s="14"/>
    </row>
    <row r="36" spans="1:18" ht="26.4" x14ac:dyDescent="0.3">
      <c r="A36" s="14" t="s">
        <v>1020</v>
      </c>
      <c r="B36" s="13" t="s">
        <v>74</v>
      </c>
      <c r="C36" s="13" t="s">
        <v>175</v>
      </c>
      <c r="D36" s="14" t="str">
        <f>IFERROR(INDEX(Case_study!$B$4:$B$15,MATCH(C36,Case_study!$A$4:$A$15,0)),"")</f>
        <v>Trạng thái xe và bảo dưỡng</v>
      </c>
      <c r="E36" s="14" t="s">
        <v>1021</v>
      </c>
      <c r="F36" s="14" t="s">
        <v>898</v>
      </c>
      <c r="G36" s="14" t="s">
        <v>1022</v>
      </c>
      <c r="H36" s="14" t="s">
        <v>1022</v>
      </c>
      <c r="I36" s="14" t="s">
        <v>887</v>
      </c>
      <c r="J36" s="14"/>
      <c r="K36" s="14" t="s">
        <v>889</v>
      </c>
      <c r="L36" s="14" t="s">
        <v>889</v>
      </c>
      <c r="M36" s="14" t="s">
        <v>890</v>
      </c>
      <c r="N36" s="14" t="s">
        <v>581</v>
      </c>
      <c r="O36" s="13">
        <f t="shared" ref="O36:O67" si="2">LEN(TRIM(H36))-LEN(SUBSTITUTE(TRIM(H36)," ",""))+1</f>
        <v>5</v>
      </c>
      <c r="P36" s="14" t="str">
        <f t="shared" ref="P36:P67" si="3">IF(O36&lt;=3,"Rất ngắn (≤3)",IF(O36&lt;=8,"Ngắn (4–8)","Thường (&gt;8)"))</f>
        <v>Ngắn (4–8)</v>
      </c>
      <c r="Q36" s="13">
        <f>ROUND(O36/Tong_quan!$B$40,1)</f>
        <v>1.1000000000000001</v>
      </c>
      <c r="R36" s="14" t="s">
        <v>891</v>
      </c>
    </row>
    <row r="37" spans="1:18" ht="26.4" x14ac:dyDescent="0.3">
      <c r="A37" s="14" t="s">
        <v>1023</v>
      </c>
      <c r="B37" s="13" t="s">
        <v>74</v>
      </c>
      <c r="C37" s="13" t="s">
        <v>184</v>
      </c>
      <c r="D37" s="14" t="str">
        <f>IFERROR(INDEX(Case_study!$B$4:$B$15,MATCH(C37,Case_study!$A$4:$A$15,0)),"")</f>
        <v>Sạc xe điện và trạm nhiên liệu</v>
      </c>
      <c r="E37" s="14" t="s">
        <v>1024</v>
      </c>
      <c r="F37" s="14" t="s">
        <v>898</v>
      </c>
      <c r="G37" s="14" t="s">
        <v>1025</v>
      </c>
      <c r="H37" s="14" t="s">
        <v>1025</v>
      </c>
      <c r="I37" s="14" t="s">
        <v>887</v>
      </c>
      <c r="J37" s="14"/>
      <c r="K37" s="14" t="s">
        <v>900</v>
      </c>
      <c r="L37" s="14" t="s">
        <v>901</v>
      </c>
      <c r="M37" s="14" t="s">
        <v>890</v>
      </c>
      <c r="N37" s="14" t="s">
        <v>665</v>
      </c>
      <c r="O37" s="13">
        <f t="shared" si="2"/>
        <v>6</v>
      </c>
      <c r="P37" s="14" t="str">
        <f t="shared" si="3"/>
        <v>Ngắn (4–8)</v>
      </c>
      <c r="Q37" s="13">
        <f>ROUND(O37/Tong_quan!$B$40,1)</f>
        <v>1.3</v>
      </c>
      <c r="R37" s="14"/>
    </row>
    <row r="38" spans="1:18" ht="26.4" x14ac:dyDescent="0.3">
      <c r="A38" s="14" t="s">
        <v>1026</v>
      </c>
      <c r="B38" s="13" t="s">
        <v>74</v>
      </c>
      <c r="C38" s="13" t="s">
        <v>184</v>
      </c>
      <c r="D38" s="14" t="str">
        <f>IFERROR(INDEX(Case_study!$B$4:$B$15,MATCH(C38,Case_study!$A$4:$A$15,0)),"")</f>
        <v>Sạc xe điện và trạm nhiên liệu</v>
      </c>
      <c r="E38" s="14" t="s">
        <v>1027</v>
      </c>
      <c r="F38" s="14" t="s">
        <v>898</v>
      </c>
      <c r="G38" s="14" t="s">
        <v>1028</v>
      </c>
      <c r="H38" s="14" t="s">
        <v>1029</v>
      </c>
      <c r="I38" s="14" t="s">
        <v>887</v>
      </c>
      <c r="J38" s="14" t="s">
        <v>1030</v>
      </c>
      <c r="K38" s="14" t="s">
        <v>900</v>
      </c>
      <c r="L38" s="14" t="s">
        <v>901</v>
      </c>
      <c r="M38" s="14" t="s">
        <v>890</v>
      </c>
      <c r="N38" s="14" t="s">
        <v>810</v>
      </c>
      <c r="O38" s="13">
        <f t="shared" si="2"/>
        <v>14</v>
      </c>
      <c r="P38" s="14" t="str">
        <f t="shared" si="3"/>
        <v>Thường (&gt;8)</v>
      </c>
      <c r="Q38" s="13">
        <f>ROUND(O38/Tong_quan!$B$40,1)</f>
        <v>3.1</v>
      </c>
      <c r="R38" s="14"/>
    </row>
    <row r="39" spans="1:18" ht="26.4" x14ac:dyDescent="0.3">
      <c r="A39" s="14" t="s">
        <v>1031</v>
      </c>
      <c r="B39" s="13" t="s">
        <v>74</v>
      </c>
      <c r="C39" s="13" t="s">
        <v>184</v>
      </c>
      <c r="D39" s="14" t="str">
        <f>IFERROR(INDEX(Case_study!$B$4:$B$15,MATCH(C39,Case_study!$A$4:$A$15,0)),"")</f>
        <v>Sạc xe điện và trạm nhiên liệu</v>
      </c>
      <c r="E39" s="14" t="s">
        <v>1032</v>
      </c>
      <c r="F39" s="14" t="s">
        <v>898</v>
      </c>
      <c r="G39" s="14" t="s">
        <v>1033</v>
      </c>
      <c r="H39" s="14" t="s">
        <v>1033</v>
      </c>
      <c r="I39" s="14" t="s">
        <v>887</v>
      </c>
      <c r="J39" s="14"/>
      <c r="K39" s="14" t="s">
        <v>900</v>
      </c>
      <c r="L39" s="14" t="s">
        <v>901</v>
      </c>
      <c r="M39" s="14" t="s">
        <v>890</v>
      </c>
      <c r="N39" s="14" t="s">
        <v>593</v>
      </c>
      <c r="O39" s="13">
        <f t="shared" si="2"/>
        <v>6</v>
      </c>
      <c r="P39" s="14" t="str">
        <f t="shared" si="3"/>
        <v>Ngắn (4–8)</v>
      </c>
      <c r="Q39" s="13">
        <f>ROUND(O39/Tong_quan!$B$40,1)</f>
        <v>1.3</v>
      </c>
      <c r="R39" s="14"/>
    </row>
    <row r="40" spans="1:18" ht="26.4" x14ac:dyDescent="0.3">
      <c r="A40" s="14" t="s">
        <v>1034</v>
      </c>
      <c r="B40" s="13" t="s">
        <v>74</v>
      </c>
      <c r="C40" s="13" t="s">
        <v>184</v>
      </c>
      <c r="D40" s="14" t="str">
        <f>IFERROR(INDEX(Case_study!$B$4:$B$15,MATCH(C40,Case_study!$A$4:$A$15,0)),"")</f>
        <v>Sạc xe điện và trạm nhiên liệu</v>
      </c>
      <c r="E40" s="14" t="s">
        <v>1035</v>
      </c>
      <c r="F40" s="14" t="s">
        <v>898</v>
      </c>
      <c r="G40" s="14" t="s">
        <v>1036</v>
      </c>
      <c r="H40" s="14" t="s">
        <v>1036</v>
      </c>
      <c r="I40" s="14" t="s">
        <v>887</v>
      </c>
      <c r="J40" s="14" t="s">
        <v>1037</v>
      </c>
      <c r="K40" s="14" t="s">
        <v>900</v>
      </c>
      <c r="L40" s="14" t="s">
        <v>901</v>
      </c>
      <c r="M40" s="14" t="s">
        <v>890</v>
      </c>
      <c r="N40" s="14" t="s">
        <v>649</v>
      </c>
      <c r="O40" s="13">
        <f t="shared" si="2"/>
        <v>6</v>
      </c>
      <c r="P40" s="14" t="str">
        <f t="shared" si="3"/>
        <v>Ngắn (4–8)</v>
      </c>
      <c r="Q40" s="13">
        <f>ROUND(O40/Tong_quan!$B$40,1)</f>
        <v>1.3</v>
      </c>
      <c r="R40" s="14"/>
    </row>
    <row r="41" spans="1:18" x14ac:dyDescent="0.3">
      <c r="A41" s="14" t="s">
        <v>1038</v>
      </c>
      <c r="B41" s="13" t="s">
        <v>74</v>
      </c>
      <c r="C41" s="13" t="s">
        <v>192</v>
      </c>
      <c r="D41" s="14" t="str">
        <f>IFERROR(INDEX(Case_study!$B$4:$B$15,MATCH(C41,Case_study!$A$4:$A$15,0)),"")</f>
        <v>Giao thông và thời tiết</v>
      </c>
      <c r="E41" s="14" t="s">
        <v>819</v>
      </c>
      <c r="F41" s="14" t="s">
        <v>898</v>
      </c>
      <c r="G41" s="14" t="s">
        <v>1039</v>
      </c>
      <c r="H41" s="14" t="s">
        <v>1039</v>
      </c>
      <c r="I41" s="14" t="s">
        <v>887</v>
      </c>
      <c r="J41" s="14" t="s">
        <v>915</v>
      </c>
      <c r="K41" s="14" t="s">
        <v>900</v>
      </c>
      <c r="L41" s="14" t="s">
        <v>916</v>
      </c>
      <c r="M41" s="14" t="s">
        <v>890</v>
      </c>
      <c r="N41" s="14" t="s">
        <v>644</v>
      </c>
      <c r="O41" s="13">
        <f t="shared" si="2"/>
        <v>7</v>
      </c>
      <c r="P41" s="14" t="str">
        <f t="shared" si="3"/>
        <v>Ngắn (4–8)</v>
      </c>
      <c r="Q41" s="13">
        <f>ROUND(O41/Tong_quan!$B$40,1)</f>
        <v>1.6</v>
      </c>
      <c r="R41" s="14"/>
    </row>
    <row r="42" spans="1:18" x14ac:dyDescent="0.3">
      <c r="A42" s="14" t="s">
        <v>1040</v>
      </c>
      <c r="B42" s="13" t="s">
        <v>74</v>
      </c>
      <c r="C42" s="13" t="s">
        <v>192</v>
      </c>
      <c r="D42" s="14" t="str">
        <f>IFERROR(INDEX(Case_study!$B$4:$B$15,MATCH(C42,Case_study!$A$4:$A$15,0)),"")</f>
        <v>Giao thông và thời tiết</v>
      </c>
      <c r="E42" s="14" t="s">
        <v>1041</v>
      </c>
      <c r="F42" s="14" t="s">
        <v>898</v>
      </c>
      <c r="G42" s="14" t="s">
        <v>1042</v>
      </c>
      <c r="H42" s="14" t="s">
        <v>1042</v>
      </c>
      <c r="I42" s="14" t="s">
        <v>887</v>
      </c>
      <c r="J42" s="14"/>
      <c r="K42" s="14" t="s">
        <v>895</v>
      </c>
      <c r="L42" s="14" t="s">
        <v>895</v>
      </c>
      <c r="M42" s="14" t="s">
        <v>890</v>
      </c>
      <c r="N42" s="14" t="s">
        <v>581</v>
      </c>
      <c r="O42" s="13">
        <f t="shared" si="2"/>
        <v>6</v>
      </c>
      <c r="P42" s="14" t="str">
        <f t="shared" si="3"/>
        <v>Ngắn (4–8)</v>
      </c>
      <c r="Q42" s="13">
        <f>ROUND(O42/Tong_quan!$B$40,1)</f>
        <v>1.3</v>
      </c>
      <c r="R42" s="14" t="s">
        <v>891</v>
      </c>
    </row>
    <row r="43" spans="1:18" x14ac:dyDescent="0.3">
      <c r="A43" s="14" t="s">
        <v>1043</v>
      </c>
      <c r="B43" s="13" t="s">
        <v>74</v>
      </c>
      <c r="C43" s="13" t="s">
        <v>192</v>
      </c>
      <c r="D43" s="14" t="str">
        <f>IFERROR(INDEX(Case_study!$B$4:$B$15,MATCH(C43,Case_study!$A$4:$A$15,0)),"")</f>
        <v>Giao thông và thời tiết</v>
      </c>
      <c r="E43" s="14" t="s">
        <v>1041</v>
      </c>
      <c r="F43" s="14" t="s">
        <v>898</v>
      </c>
      <c r="G43" s="14" t="s">
        <v>1044</v>
      </c>
      <c r="H43" s="14" t="s">
        <v>1044</v>
      </c>
      <c r="I43" s="14" t="s">
        <v>887</v>
      </c>
      <c r="J43" s="14"/>
      <c r="K43" s="14" t="s">
        <v>889</v>
      </c>
      <c r="L43" s="14" t="s">
        <v>889</v>
      </c>
      <c r="M43" s="14" t="s">
        <v>890</v>
      </c>
      <c r="N43" s="14" t="s">
        <v>581</v>
      </c>
      <c r="O43" s="13">
        <f t="shared" si="2"/>
        <v>6</v>
      </c>
      <c r="P43" s="14" t="str">
        <f t="shared" si="3"/>
        <v>Ngắn (4–8)</v>
      </c>
      <c r="Q43" s="13">
        <f>ROUND(O43/Tong_quan!$B$40,1)</f>
        <v>1.3</v>
      </c>
      <c r="R43" s="14" t="s">
        <v>891</v>
      </c>
    </row>
    <row r="44" spans="1:18" ht="26.4" x14ac:dyDescent="0.3">
      <c r="A44" s="14" t="s">
        <v>1045</v>
      </c>
      <c r="B44" s="13" t="s">
        <v>74</v>
      </c>
      <c r="C44" s="13" t="s">
        <v>192</v>
      </c>
      <c r="D44" s="14" t="str">
        <f>IFERROR(INDEX(Case_study!$B$4:$B$15,MATCH(C44,Case_study!$A$4:$A$15,0)),"")</f>
        <v>Giao thông và thời tiết</v>
      </c>
      <c r="E44" s="14" t="s">
        <v>913</v>
      </c>
      <c r="F44" s="14" t="s">
        <v>898</v>
      </c>
      <c r="G44" s="14" t="s">
        <v>1046</v>
      </c>
      <c r="H44" s="14" t="s">
        <v>1046</v>
      </c>
      <c r="I44" s="14" t="s">
        <v>887</v>
      </c>
      <c r="J44" s="14"/>
      <c r="K44" s="14" t="s">
        <v>900</v>
      </c>
      <c r="L44" s="14" t="s">
        <v>901</v>
      </c>
      <c r="M44" s="14" t="s">
        <v>890</v>
      </c>
      <c r="N44" s="14" t="s">
        <v>611</v>
      </c>
      <c r="O44" s="13">
        <f t="shared" si="2"/>
        <v>5</v>
      </c>
      <c r="P44" s="14" t="str">
        <f t="shared" si="3"/>
        <v>Ngắn (4–8)</v>
      </c>
      <c r="Q44" s="13">
        <f>ROUND(O44/Tong_quan!$B$40,1)</f>
        <v>1.1000000000000001</v>
      </c>
      <c r="R44" s="14"/>
    </row>
    <row r="45" spans="1:18" ht="26.4" x14ac:dyDescent="0.3">
      <c r="A45" s="14" t="s">
        <v>1047</v>
      </c>
      <c r="B45" s="13" t="s">
        <v>74</v>
      </c>
      <c r="C45" s="13" t="s">
        <v>200</v>
      </c>
      <c r="D45" s="14" t="str">
        <f>IFERROR(INDEX(Case_study!$B$4:$B$15,MATCH(C45,Case_study!$A$4:$A$15,0)),"")</f>
        <v>Khẩn cấp và cứu hộ</v>
      </c>
      <c r="E45" s="14" t="s">
        <v>1048</v>
      </c>
      <c r="F45" s="14" t="s">
        <v>884</v>
      </c>
      <c r="G45" s="14" t="s">
        <v>1049</v>
      </c>
      <c r="H45" s="14" t="s">
        <v>1050</v>
      </c>
      <c r="I45" s="14" t="s">
        <v>887</v>
      </c>
      <c r="J45" s="14" t="s">
        <v>748</v>
      </c>
      <c r="K45" s="14" t="s">
        <v>900</v>
      </c>
      <c r="L45" s="14" t="s">
        <v>901</v>
      </c>
      <c r="M45" s="14" t="s">
        <v>1051</v>
      </c>
      <c r="N45" s="14" t="s">
        <v>1052</v>
      </c>
      <c r="O45" s="13">
        <f t="shared" si="2"/>
        <v>6</v>
      </c>
      <c r="P45" s="14" t="str">
        <f t="shared" si="3"/>
        <v>Ngắn (4–8)</v>
      </c>
      <c r="Q45" s="13">
        <f>ROUND(O45/Tong_quan!$B$40,1)</f>
        <v>1.3</v>
      </c>
      <c r="R45" s="14" t="s">
        <v>1053</v>
      </c>
    </row>
    <row r="46" spans="1:18" ht="26.4" x14ac:dyDescent="0.3">
      <c r="A46" s="14" t="s">
        <v>1054</v>
      </c>
      <c r="B46" s="13" t="s">
        <v>74</v>
      </c>
      <c r="C46" s="13" t="s">
        <v>200</v>
      </c>
      <c r="D46" s="14" t="str">
        <f>IFERROR(INDEX(Case_study!$B$4:$B$15,MATCH(C46,Case_study!$A$4:$A$15,0)),"")</f>
        <v>Khẩn cấp và cứu hộ</v>
      </c>
      <c r="E46" s="14" t="s">
        <v>1055</v>
      </c>
      <c r="F46" s="14" t="s">
        <v>927</v>
      </c>
      <c r="G46" s="14" t="s">
        <v>1056</v>
      </c>
      <c r="H46" s="14" t="s">
        <v>1056</v>
      </c>
      <c r="I46" s="14" t="s">
        <v>887</v>
      </c>
      <c r="J46" s="14"/>
      <c r="K46" s="14" t="s">
        <v>900</v>
      </c>
      <c r="L46" s="14" t="s">
        <v>901</v>
      </c>
      <c r="M46" s="14" t="s">
        <v>1051</v>
      </c>
      <c r="N46" s="14" t="s">
        <v>830</v>
      </c>
      <c r="O46" s="13">
        <f t="shared" si="2"/>
        <v>5</v>
      </c>
      <c r="P46" s="14" t="str">
        <f t="shared" si="3"/>
        <v>Ngắn (4–8)</v>
      </c>
      <c r="Q46" s="13">
        <f>ROUND(O46/Tong_quan!$B$40,1)</f>
        <v>1.1000000000000001</v>
      </c>
      <c r="R46" s="14"/>
    </row>
    <row r="47" spans="1:18" ht="26.4" x14ac:dyDescent="0.3">
      <c r="A47" s="14" t="s">
        <v>1057</v>
      </c>
      <c r="B47" s="13" t="s">
        <v>74</v>
      </c>
      <c r="C47" s="13" t="s">
        <v>200</v>
      </c>
      <c r="D47" s="14" t="str">
        <f>IFERROR(INDEX(Case_study!$B$4:$B$15,MATCH(C47,Case_study!$A$4:$A$15,0)),"")</f>
        <v>Khẩn cấp và cứu hộ</v>
      </c>
      <c r="E47" s="14" t="s">
        <v>1058</v>
      </c>
      <c r="F47" s="14" t="s">
        <v>1059</v>
      </c>
      <c r="G47" s="14" t="s">
        <v>1060</v>
      </c>
      <c r="H47" s="14" t="s">
        <v>1060</v>
      </c>
      <c r="I47" s="14" t="s">
        <v>887</v>
      </c>
      <c r="J47" s="14"/>
      <c r="K47" s="14" t="s">
        <v>900</v>
      </c>
      <c r="L47" s="14" t="s">
        <v>901</v>
      </c>
      <c r="M47" s="14" t="s">
        <v>1051</v>
      </c>
      <c r="N47" s="14" t="s">
        <v>1061</v>
      </c>
      <c r="O47" s="13">
        <f t="shared" si="2"/>
        <v>3</v>
      </c>
      <c r="P47" s="14" t="str">
        <f t="shared" si="3"/>
        <v>Rất ngắn (≤3)</v>
      </c>
      <c r="Q47" s="13">
        <f>ROUND(O47/Tong_quan!$B$40,1)</f>
        <v>0.7</v>
      </c>
      <c r="R47" s="14"/>
    </row>
    <row r="48" spans="1:18" ht="26.4" x14ac:dyDescent="0.3">
      <c r="A48" s="14" t="s">
        <v>1062</v>
      </c>
      <c r="B48" s="13" t="s">
        <v>74</v>
      </c>
      <c r="C48" s="13" t="s">
        <v>200</v>
      </c>
      <c r="D48" s="14" t="str">
        <f>IFERROR(INDEX(Case_study!$B$4:$B$15,MATCH(C48,Case_study!$A$4:$A$15,0)),"")</f>
        <v>Khẩn cấp và cứu hộ</v>
      </c>
      <c r="E48" s="14" t="s">
        <v>1063</v>
      </c>
      <c r="F48" s="14" t="s">
        <v>884</v>
      </c>
      <c r="G48" s="14" t="s">
        <v>1064</v>
      </c>
      <c r="H48" s="14" t="s">
        <v>1064</v>
      </c>
      <c r="I48" s="14" t="s">
        <v>887</v>
      </c>
      <c r="J48" s="14"/>
      <c r="K48" s="14" t="s">
        <v>900</v>
      </c>
      <c r="L48" s="14" t="s">
        <v>901</v>
      </c>
      <c r="M48" s="14" t="s">
        <v>1051</v>
      </c>
      <c r="N48" s="14" t="s">
        <v>1065</v>
      </c>
      <c r="O48" s="13">
        <f t="shared" si="2"/>
        <v>5</v>
      </c>
      <c r="P48" s="14" t="str">
        <f t="shared" si="3"/>
        <v>Ngắn (4–8)</v>
      </c>
      <c r="Q48" s="13">
        <f>ROUND(O48/Tong_quan!$B$40,1)</f>
        <v>1.1000000000000001</v>
      </c>
      <c r="R48" s="14"/>
    </row>
    <row r="49" spans="1:18" ht="26.4" x14ac:dyDescent="0.3">
      <c r="A49" s="14" t="s">
        <v>1066</v>
      </c>
      <c r="B49" s="13" t="s">
        <v>74</v>
      </c>
      <c r="C49" s="13" t="s">
        <v>209</v>
      </c>
      <c r="D49" s="14" t="str">
        <f>IFERROR(INDEX(Case_study!$B$4:$B$15,MATCH(C49,Case_study!$A$4:$A$15,0)),"")</f>
        <v>Hội thoại và gợi ý chủ động</v>
      </c>
      <c r="E49" s="14" t="s">
        <v>833</v>
      </c>
      <c r="F49" s="14" t="s">
        <v>884</v>
      </c>
      <c r="G49" s="14" t="s">
        <v>1067</v>
      </c>
      <c r="H49" s="14" t="s">
        <v>1067</v>
      </c>
      <c r="I49" s="14" t="s">
        <v>887</v>
      </c>
      <c r="J49" s="14"/>
      <c r="K49" s="14" t="s">
        <v>900</v>
      </c>
      <c r="L49" s="14" t="s">
        <v>901</v>
      </c>
      <c r="M49" s="14" t="s">
        <v>890</v>
      </c>
      <c r="N49" s="14" t="s">
        <v>1068</v>
      </c>
      <c r="O49" s="13">
        <f t="shared" si="2"/>
        <v>9</v>
      </c>
      <c r="P49" s="14" t="str">
        <f t="shared" si="3"/>
        <v>Thường (&gt;8)</v>
      </c>
      <c r="Q49" s="13">
        <f>ROUND(O49/Tong_quan!$B$40,1)</f>
        <v>2</v>
      </c>
      <c r="R49" s="14"/>
    </row>
    <row r="50" spans="1:18" ht="26.4" x14ac:dyDescent="0.3">
      <c r="A50" s="14" t="s">
        <v>1069</v>
      </c>
      <c r="B50" s="13" t="s">
        <v>74</v>
      </c>
      <c r="C50" s="13" t="s">
        <v>209</v>
      </c>
      <c r="D50" s="14" t="str">
        <f>IFERROR(INDEX(Case_study!$B$4:$B$15,MATCH(C50,Case_study!$A$4:$A$15,0)),"")</f>
        <v>Hội thoại và gợi ý chủ động</v>
      </c>
      <c r="E50" s="14" t="s">
        <v>1070</v>
      </c>
      <c r="F50" s="14" t="s">
        <v>884</v>
      </c>
      <c r="G50" s="14" t="s">
        <v>1071</v>
      </c>
      <c r="H50" s="14" t="s">
        <v>1072</v>
      </c>
      <c r="I50" s="14" t="s">
        <v>887</v>
      </c>
      <c r="J50" s="14" t="s">
        <v>1073</v>
      </c>
      <c r="K50" s="14" t="s">
        <v>900</v>
      </c>
      <c r="L50" s="14" t="s">
        <v>901</v>
      </c>
      <c r="M50" s="14" t="s">
        <v>890</v>
      </c>
      <c r="N50" s="14" t="s">
        <v>639</v>
      </c>
      <c r="O50" s="13">
        <f t="shared" si="2"/>
        <v>8</v>
      </c>
      <c r="P50" s="14" t="str">
        <f t="shared" si="3"/>
        <v>Ngắn (4–8)</v>
      </c>
      <c r="Q50" s="13">
        <f>ROUND(O50/Tong_quan!$B$40,1)</f>
        <v>1.8</v>
      </c>
      <c r="R50" s="14"/>
    </row>
    <row r="51" spans="1:18" ht="26.4" x14ac:dyDescent="0.3">
      <c r="A51" s="14" t="s">
        <v>1074</v>
      </c>
      <c r="B51" s="13" t="s">
        <v>74</v>
      </c>
      <c r="C51" s="13" t="s">
        <v>209</v>
      </c>
      <c r="D51" s="14" t="str">
        <f>IFERROR(INDEX(Case_study!$B$4:$B$15,MATCH(C51,Case_study!$A$4:$A$15,0)),"")</f>
        <v>Hội thoại và gợi ý chủ động</v>
      </c>
      <c r="E51" s="14" t="s">
        <v>841</v>
      </c>
      <c r="F51" s="14" t="s">
        <v>898</v>
      </c>
      <c r="G51" s="14" t="s">
        <v>1075</v>
      </c>
      <c r="H51" s="14" t="s">
        <v>1075</v>
      </c>
      <c r="I51" s="14" t="s">
        <v>887</v>
      </c>
      <c r="J51" s="14"/>
      <c r="K51" s="14" t="s">
        <v>895</v>
      </c>
      <c r="L51" s="14" t="s">
        <v>895</v>
      </c>
      <c r="M51" s="14" t="s">
        <v>890</v>
      </c>
      <c r="N51" s="14" t="s">
        <v>848</v>
      </c>
      <c r="O51" s="13">
        <f t="shared" si="2"/>
        <v>12</v>
      </c>
      <c r="P51" s="14" t="str">
        <f t="shared" si="3"/>
        <v>Thường (&gt;8)</v>
      </c>
      <c r="Q51" s="13">
        <f>ROUND(O51/Tong_quan!$B$40,1)</f>
        <v>2.7</v>
      </c>
      <c r="R51" s="14" t="s">
        <v>891</v>
      </c>
    </row>
    <row r="52" spans="1:18" ht="26.4" x14ac:dyDescent="0.3">
      <c r="A52" s="14" t="s">
        <v>1076</v>
      </c>
      <c r="B52" s="13" t="s">
        <v>74</v>
      </c>
      <c r="C52" s="13" t="s">
        <v>209</v>
      </c>
      <c r="D52" s="14" t="str">
        <f>IFERROR(INDEX(Case_study!$B$4:$B$15,MATCH(C52,Case_study!$A$4:$A$15,0)),"")</f>
        <v>Hội thoại và gợi ý chủ động</v>
      </c>
      <c r="E52" s="14" t="s">
        <v>841</v>
      </c>
      <c r="F52" s="14" t="s">
        <v>898</v>
      </c>
      <c r="G52" s="14" t="s">
        <v>1077</v>
      </c>
      <c r="H52" s="14" t="s">
        <v>1077</v>
      </c>
      <c r="I52" s="14" t="s">
        <v>887</v>
      </c>
      <c r="J52" s="14"/>
      <c r="K52" s="14" t="s">
        <v>889</v>
      </c>
      <c r="L52" s="14" t="s">
        <v>889</v>
      </c>
      <c r="M52" s="14" t="s">
        <v>890</v>
      </c>
      <c r="N52" s="14" t="s">
        <v>848</v>
      </c>
      <c r="O52" s="13">
        <f t="shared" si="2"/>
        <v>12</v>
      </c>
      <c r="P52" s="14" t="str">
        <f t="shared" si="3"/>
        <v>Thường (&gt;8)</v>
      </c>
      <c r="Q52" s="13">
        <f>ROUND(O52/Tong_quan!$B$40,1)</f>
        <v>2.7</v>
      </c>
      <c r="R52" s="14" t="s">
        <v>891</v>
      </c>
    </row>
    <row r="53" spans="1:18" ht="26.4" x14ac:dyDescent="0.3">
      <c r="A53" s="14" t="s">
        <v>1078</v>
      </c>
      <c r="B53" s="13" t="s">
        <v>74</v>
      </c>
      <c r="C53" s="13" t="s">
        <v>209</v>
      </c>
      <c r="D53" s="14" t="str">
        <f>IFERROR(INDEX(Case_study!$B$4:$B$15,MATCH(C53,Case_study!$A$4:$A$15,0)),"")</f>
        <v>Hội thoại và gợi ý chủ động</v>
      </c>
      <c r="E53" s="14" t="s">
        <v>1079</v>
      </c>
      <c r="F53" s="14" t="s">
        <v>927</v>
      </c>
      <c r="G53" s="14" t="s">
        <v>1080</v>
      </c>
      <c r="H53" s="14" t="s">
        <v>1081</v>
      </c>
      <c r="I53" s="14" t="s">
        <v>955</v>
      </c>
      <c r="J53" s="14" t="s">
        <v>956</v>
      </c>
      <c r="K53" s="14" t="s">
        <v>900</v>
      </c>
      <c r="L53" s="14" t="s">
        <v>901</v>
      </c>
      <c r="M53" s="14" t="s">
        <v>890</v>
      </c>
      <c r="N53" s="14" t="s">
        <v>1082</v>
      </c>
      <c r="O53" s="13">
        <f t="shared" si="2"/>
        <v>4</v>
      </c>
      <c r="P53" s="14" t="str">
        <f t="shared" si="3"/>
        <v>Ngắn (4–8)</v>
      </c>
      <c r="Q53" s="13">
        <f>ROUND(O53/Tong_quan!$B$40,1)</f>
        <v>0.9</v>
      </c>
      <c r="R53" s="14"/>
    </row>
    <row r="54" spans="1:18" ht="26.4" x14ac:dyDescent="0.3">
      <c r="A54" s="14" t="s">
        <v>1083</v>
      </c>
      <c r="B54" s="13" t="s">
        <v>74</v>
      </c>
      <c r="C54" s="13" t="s">
        <v>217</v>
      </c>
      <c r="D54" s="14" t="str">
        <f>IFERROR(INDEX(Case_study!$B$4:$B$15,MATCH(C54,Case_study!$A$4:$A$15,0)),"")</f>
        <v>Hành khách và trẻ em</v>
      </c>
      <c r="E54" s="14" t="s">
        <v>1084</v>
      </c>
      <c r="F54" s="14" t="s">
        <v>884</v>
      </c>
      <c r="G54" s="14" t="s">
        <v>1085</v>
      </c>
      <c r="H54" s="14" t="s">
        <v>1085</v>
      </c>
      <c r="I54" s="14" t="s">
        <v>887</v>
      </c>
      <c r="J54" s="14"/>
      <c r="K54" s="14" t="s">
        <v>900</v>
      </c>
      <c r="L54" s="14" t="s">
        <v>901</v>
      </c>
      <c r="M54" s="14" t="s">
        <v>1086</v>
      </c>
      <c r="N54" s="14" t="s">
        <v>1087</v>
      </c>
      <c r="O54" s="13">
        <f t="shared" si="2"/>
        <v>4</v>
      </c>
      <c r="P54" s="14" t="str">
        <f t="shared" si="3"/>
        <v>Ngắn (4–8)</v>
      </c>
      <c r="Q54" s="13">
        <f>ROUND(O54/Tong_quan!$B$40,1)</f>
        <v>0.9</v>
      </c>
      <c r="R54" s="14" t="s">
        <v>1088</v>
      </c>
    </row>
    <row r="55" spans="1:18" ht="26.4" x14ac:dyDescent="0.3">
      <c r="A55" s="14" t="s">
        <v>1089</v>
      </c>
      <c r="B55" s="13" t="s">
        <v>74</v>
      </c>
      <c r="C55" s="13" t="s">
        <v>217</v>
      </c>
      <c r="D55" s="14" t="str">
        <f>IFERROR(INDEX(Case_study!$B$4:$B$15,MATCH(C55,Case_study!$A$4:$A$15,0)),"")</f>
        <v>Hành khách và trẻ em</v>
      </c>
      <c r="E55" s="14" t="s">
        <v>1090</v>
      </c>
      <c r="F55" s="14" t="s">
        <v>884</v>
      </c>
      <c r="G55" s="14" t="s">
        <v>1091</v>
      </c>
      <c r="H55" s="14" t="s">
        <v>1091</v>
      </c>
      <c r="I55" s="14" t="s">
        <v>887</v>
      </c>
      <c r="J55" s="14"/>
      <c r="K55" s="14" t="s">
        <v>900</v>
      </c>
      <c r="L55" s="14" t="s">
        <v>901</v>
      </c>
      <c r="M55" s="14" t="s">
        <v>890</v>
      </c>
      <c r="N55" s="14" t="s">
        <v>1092</v>
      </c>
      <c r="O55" s="13">
        <f t="shared" si="2"/>
        <v>7</v>
      </c>
      <c r="P55" s="14" t="str">
        <f t="shared" si="3"/>
        <v>Ngắn (4–8)</v>
      </c>
      <c r="Q55" s="13">
        <f>ROUND(O55/Tong_quan!$B$40,1)</f>
        <v>1.6</v>
      </c>
      <c r="R55" s="14"/>
    </row>
    <row r="56" spans="1:18" ht="26.4" x14ac:dyDescent="0.3">
      <c r="A56" s="14" t="s">
        <v>1093</v>
      </c>
      <c r="B56" s="13" t="s">
        <v>74</v>
      </c>
      <c r="C56" s="13" t="s">
        <v>217</v>
      </c>
      <c r="D56" s="14" t="str">
        <f>IFERROR(INDEX(Case_study!$B$4:$B$15,MATCH(C56,Case_study!$A$4:$A$15,0)),"")</f>
        <v>Hành khách và trẻ em</v>
      </c>
      <c r="E56" s="14" t="s">
        <v>1094</v>
      </c>
      <c r="F56" s="14" t="s">
        <v>884</v>
      </c>
      <c r="G56" s="14" t="s">
        <v>1095</v>
      </c>
      <c r="H56" s="14" t="s">
        <v>1095</v>
      </c>
      <c r="I56" s="14" t="s">
        <v>887</v>
      </c>
      <c r="J56" s="14"/>
      <c r="K56" s="14" t="s">
        <v>900</v>
      </c>
      <c r="L56" s="14" t="s">
        <v>901</v>
      </c>
      <c r="M56" s="14" t="s">
        <v>890</v>
      </c>
      <c r="N56" s="14" t="s">
        <v>665</v>
      </c>
      <c r="O56" s="13">
        <f t="shared" si="2"/>
        <v>4</v>
      </c>
      <c r="P56" s="14" t="str">
        <f t="shared" si="3"/>
        <v>Ngắn (4–8)</v>
      </c>
      <c r="Q56" s="13">
        <f>ROUND(O56/Tong_quan!$B$40,1)</f>
        <v>0.9</v>
      </c>
      <c r="R56" s="14"/>
    </row>
    <row r="57" spans="1:18" ht="26.4" x14ac:dyDescent="0.3">
      <c r="A57" s="14" t="s">
        <v>1096</v>
      </c>
      <c r="B57" s="13" t="s">
        <v>84</v>
      </c>
      <c r="C57" s="13" t="s">
        <v>226</v>
      </c>
      <c r="D57" s="14" t="str">
        <f>IFERROR(INDEX(Case_study!$B$4:$B$15,MATCH(C57,Case_study!$A$4:$A$15,0)),"")</f>
        <v>Lỗi, làm rõ và ngoại tuyến</v>
      </c>
      <c r="E57" s="14" t="s">
        <v>1097</v>
      </c>
      <c r="F57" s="14" t="s">
        <v>1098</v>
      </c>
      <c r="G57" s="14" t="s">
        <v>1099</v>
      </c>
      <c r="H57" s="14" t="s">
        <v>1099</v>
      </c>
      <c r="I57" s="14" t="s">
        <v>887</v>
      </c>
      <c r="J57" s="14"/>
      <c r="K57" s="14" t="s">
        <v>900</v>
      </c>
      <c r="L57" s="14" t="s">
        <v>901</v>
      </c>
      <c r="M57" s="14" t="s">
        <v>890</v>
      </c>
      <c r="N57" s="14" t="s">
        <v>902</v>
      </c>
      <c r="O57" s="13">
        <f t="shared" si="2"/>
        <v>3</v>
      </c>
      <c r="P57" s="14" t="str">
        <f t="shared" si="3"/>
        <v>Rất ngắn (≤3)</v>
      </c>
      <c r="Q57" s="13">
        <f>ROUND(O57/Tong_quan!$B$40,1)</f>
        <v>0.7</v>
      </c>
      <c r="R57" s="14"/>
    </row>
    <row r="58" spans="1:18" ht="26.4" x14ac:dyDescent="0.3">
      <c r="A58" s="14" t="s">
        <v>1100</v>
      </c>
      <c r="B58" s="13" t="s">
        <v>84</v>
      </c>
      <c r="C58" s="13" t="s">
        <v>226</v>
      </c>
      <c r="D58" s="14" t="str">
        <f>IFERROR(INDEX(Case_study!$B$4:$B$15,MATCH(C58,Case_study!$A$4:$A$15,0)),"")</f>
        <v>Lỗi, làm rõ và ngoại tuyến</v>
      </c>
      <c r="E58" s="14" t="s">
        <v>858</v>
      </c>
      <c r="F58" s="14" t="s">
        <v>927</v>
      </c>
      <c r="G58" s="14" t="s">
        <v>1101</v>
      </c>
      <c r="H58" s="14" t="s">
        <v>1101</v>
      </c>
      <c r="I58" s="14" t="s">
        <v>887</v>
      </c>
      <c r="J58" s="14" t="s">
        <v>915</v>
      </c>
      <c r="K58" s="14" t="s">
        <v>900</v>
      </c>
      <c r="L58" s="14" t="s">
        <v>901</v>
      </c>
      <c r="M58" s="14" t="s">
        <v>890</v>
      </c>
      <c r="N58" s="14" t="s">
        <v>1102</v>
      </c>
      <c r="O58" s="13">
        <f t="shared" si="2"/>
        <v>9</v>
      </c>
      <c r="P58" s="14" t="str">
        <f t="shared" si="3"/>
        <v>Thường (&gt;8)</v>
      </c>
      <c r="Q58" s="13">
        <f>ROUND(O58/Tong_quan!$B$40,1)</f>
        <v>2</v>
      </c>
      <c r="R58" s="14"/>
    </row>
    <row r="59" spans="1:18" ht="26.4" x14ac:dyDescent="0.3">
      <c r="A59" s="14" t="s">
        <v>1103</v>
      </c>
      <c r="B59" s="13" t="s">
        <v>84</v>
      </c>
      <c r="C59" s="13" t="s">
        <v>226</v>
      </c>
      <c r="D59" s="14" t="str">
        <f>IFERROR(INDEX(Case_study!$B$4:$B$15,MATCH(C59,Case_study!$A$4:$A$15,0)),"")</f>
        <v>Lỗi, làm rõ và ngoại tuyến</v>
      </c>
      <c r="E59" s="14" t="s">
        <v>1104</v>
      </c>
      <c r="F59" s="14" t="s">
        <v>1098</v>
      </c>
      <c r="G59" s="14" t="s">
        <v>1105</v>
      </c>
      <c r="H59" s="14" t="s">
        <v>1105</v>
      </c>
      <c r="I59" s="14" t="s">
        <v>887</v>
      </c>
      <c r="J59" s="14"/>
      <c r="K59" s="14" t="s">
        <v>900</v>
      </c>
      <c r="L59" s="14" t="s">
        <v>901</v>
      </c>
      <c r="M59" s="14" t="s">
        <v>890</v>
      </c>
      <c r="N59" s="14" t="s">
        <v>902</v>
      </c>
      <c r="O59" s="13">
        <f t="shared" si="2"/>
        <v>3</v>
      </c>
      <c r="P59" s="14" t="str">
        <f t="shared" si="3"/>
        <v>Rất ngắn (≤3)</v>
      </c>
      <c r="Q59" s="13">
        <f>ROUND(O59/Tong_quan!$B$40,1)</f>
        <v>0.7</v>
      </c>
      <c r="R59" s="14"/>
    </row>
    <row r="60" spans="1:18" ht="26.4" x14ac:dyDescent="0.3">
      <c r="A60" s="14" t="s">
        <v>1106</v>
      </c>
      <c r="B60" s="13" t="s">
        <v>84</v>
      </c>
      <c r="C60" s="13" t="s">
        <v>226</v>
      </c>
      <c r="D60" s="14" t="str">
        <f>IFERROR(INDEX(Case_study!$B$4:$B$15,MATCH(C60,Case_study!$A$4:$A$15,0)),"")</f>
        <v>Lỗi, làm rõ và ngoại tuyến</v>
      </c>
      <c r="E60" s="14" t="s">
        <v>1104</v>
      </c>
      <c r="F60" s="14" t="s">
        <v>1098</v>
      </c>
      <c r="G60" s="14" t="s">
        <v>1107</v>
      </c>
      <c r="H60" s="14" t="s">
        <v>1107</v>
      </c>
      <c r="I60" s="14" t="s">
        <v>887</v>
      </c>
      <c r="J60" s="14"/>
      <c r="K60" s="14" t="s">
        <v>900</v>
      </c>
      <c r="L60" s="14" t="s">
        <v>901</v>
      </c>
      <c r="M60" s="14" t="s">
        <v>890</v>
      </c>
      <c r="N60" s="14" t="s">
        <v>665</v>
      </c>
      <c r="O60" s="13">
        <f t="shared" si="2"/>
        <v>3</v>
      </c>
      <c r="P60" s="14" t="str">
        <f t="shared" si="3"/>
        <v>Rất ngắn (≤3)</v>
      </c>
      <c r="Q60" s="13">
        <f>ROUND(O60/Tong_quan!$B$40,1)</f>
        <v>0.7</v>
      </c>
      <c r="R60" s="14"/>
    </row>
    <row r="61" spans="1:18" ht="26.4" x14ac:dyDescent="0.3">
      <c r="A61" s="14" t="s">
        <v>1108</v>
      </c>
      <c r="B61" s="13" t="s">
        <v>84</v>
      </c>
      <c r="C61" s="13" t="s">
        <v>226</v>
      </c>
      <c r="D61" s="14" t="str">
        <f>IFERROR(INDEX(Case_study!$B$4:$B$15,MATCH(C61,Case_study!$A$4:$A$15,0)),"")</f>
        <v>Lỗi, làm rõ và ngoại tuyến</v>
      </c>
      <c r="E61" s="14" t="s">
        <v>1109</v>
      </c>
      <c r="F61" s="14" t="s">
        <v>1098</v>
      </c>
      <c r="G61" s="14" t="s">
        <v>1110</v>
      </c>
      <c r="H61" s="14" t="s">
        <v>1110</v>
      </c>
      <c r="I61" s="14" t="s">
        <v>887</v>
      </c>
      <c r="J61" s="14"/>
      <c r="K61" s="14" t="s">
        <v>900</v>
      </c>
      <c r="L61" s="14" t="s">
        <v>901</v>
      </c>
      <c r="M61" s="14" t="s">
        <v>890</v>
      </c>
      <c r="N61" s="14" t="s">
        <v>902</v>
      </c>
      <c r="O61" s="13">
        <f t="shared" si="2"/>
        <v>1</v>
      </c>
      <c r="P61" s="14" t="str">
        <f t="shared" si="3"/>
        <v>Rất ngắn (≤3)</v>
      </c>
      <c r="Q61" s="13">
        <f>ROUND(O61/Tong_quan!$B$40,1)</f>
        <v>0.2</v>
      </c>
      <c r="R61" s="14"/>
    </row>
    <row r="62" spans="1:18" ht="26.4" x14ac:dyDescent="0.3">
      <c r="A62" s="14" t="s">
        <v>1111</v>
      </c>
      <c r="B62" s="13" t="s">
        <v>84</v>
      </c>
      <c r="C62" s="13" t="s">
        <v>226</v>
      </c>
      <c r="D62" s="14" t="str">
        <f>IFERROR(INDEX(Case_study!$B$4:$B$15,MATCH(C62,Case_study!$A$4:$A$15,0)),"")</f>
        <v>Lỗi, làm rõ và ngoại tuyến</v>
      </c>
      <c r="E62" s="14" t="s">
        <v>1112</v>
      </c>
      <c r="F62" s="14" t="s">
        <v>1098</v>
      </c>
      <c r="G62" s="14" t="s">
        <v>1113</v>
      </c>
      <c r="H62" s="14" t="s">
        <v>1113</v>
      </c>
      <c r="I62" s="14" t="s">
        <v>887</v>
      </c>
      <c r="J62" s="14"/>
      <c r="K62" s="14" t="s">
        <v>900</v>
      </c>
      <c r="L62" s="14" t="s">
        <v>901</v>
      </c>
      <c r="M62" s="14" t="s">
        <v>890</v>
      </c>
      <c r="N62" s="14" t="s">
        <v>902</v>
      </c>
      <c r="O62" s="13">
        <f t="shared" si="2"/>
        <v>1</v>
      </c>
      <c r="P62" s="14" t="str">
        <f t="shared" si="3"/>
        <v>Rất ngắn (≤3)</v>
      </c>
      <c r="Q62" s="13">
        <f>ROUND(O62/Tong_quan!$B$40,1)</f>
        <v>0.2</v>
      </c>
      <c r="R62" s="14"/>
    </row>
    <row r="63" spans="1:18" ht="26.4" x14ac:dyDescent="0.3">
      <c r="A63" s="14" t="s">
        <v>1114</v>
      </c>
      <c r="B63" s="13" t="s">
        <v>84</v>
      </c>
      <c r="C63" s="13" t="s">
        <v>226</v>
      </c>
      <c r="D63" s="14" t="str">
        <f>IFERROR(INDEX(Case_study!$B$4:$B$15,MATCH(C63,Case_study!$A$4:$A$15,0)),"")</f>
        <v>Lỗi, làm rõ và ngoại tuyến</v>
      </c>
      <c r="E63" s="14" t="s">
        <v>1109</v>
      </c>
      <c r="F63" s="14" t="s">
        <v>1098</v>
      </c>
      <c r="G63" s="14" t="s">
        <v>1115</v>
      </c>
      <c r="H63" s="14" t="s">
        <v>1115</v>
      </c>
      <c r="I63" s="14" t="s">
        <v>887</v>
      </c>
      <c r="J63" s="14"/>
      <c r="K63" s="14" t="s">
        <v>900</v>
      </c>
      <c r="L63" s="14" t="s">
        <v>901</v>
      </c>
      <c r="M63" s="14" t="s">
        <v>890</v>
      </c>
      <c r="N63" s="14" t="s">
        <v>665</v>
      </c>
      <c r="O63" s="13">
        <f t="shared" si="2"/>
        <v>2</v>
      </c>
      <c r="P63" s="14" t="str">
        <f t="shared" si="3"/>
        <v>Rất ngắn (≤3)</v>
      </c>
      <c r="Q63" s="13">
        <f>ROUND(O63/Tong_quan!$B$40,1)</f>
        <v>0.4</v>
      </c>
      <c r="R63" s="14"/>
    </row>
    <row r="64" spans="1:18" ht="26.4" x14ac:dyDescent="0.3">
      <c r="A64" s="14" t="s">
        <v>1116</v>
      </c>
      <c r="B64" s="13" t="s">
        <v>84</v>
      </c>
      <c r="C64" s="13" t="s">
        <v>226</v>
      </c>
      <c r="D64" s="14" t="str">
        <f>IFERROR(INDEX(Case_study!$B$4:$B$15,MATCH(C64,Case_study!$A$4:$A$15,0)),"")</f>
        <v>Lỗi, làm rõ và ngoại tuyến</v>
      </c>
      <c r="E64" s="14" t="s">
        <v>1117</v>
      </c>
      <c r="F64" s="14" t="s">
        <v>1098</v>
      </c>
      <c r="G64" s="14" t="s">
        <v>1118</v>
      </c>
      <c r="H64" s="14" t="s">
        <v>1118</v>
      </c>
      <c r="I64" s="14" t="s">
        <v>887</v>
      </c>
      <c r="J64" s="14"/>
      <c r="K64" s="14" t="s">
        <v>889</v>
      </c>
      <c r="L64" s="14" t="s">
        <v>889</v>
      </c>
      <c r="M64" s="14" t="s">
        <v>890</v>
      </c>
      <c r="N64" s="14" t="s">
        <v>1119</v>
      </c>
      <c r="O64" s="13">
        <f t="shared" si="2"/>
        <v>3</v>
      </c>
      <c r="P64" s="14" t="str">
        <f t="shared" si="3"/>
        <v>Rất ngắn (≤3)</v>
      </c>
      <c r="Q64" s="13">
        <f>ROUND(O64/Tong_quan!$B$40,1)</f>
        <v>0.7</v>
      </c>
      <c r="R64" s="14" t="s">
        <v>891</v>
      </c>
    </row>
    <row r="65" spans="1:18" ht="26.4" x14ac:dyDescent="0.3">
      <c r="A65" s="14" t="s">
        <v>1120</v>
      </c>
      <c r="B65" s="13" t="s">
        <v>84</v>
      </c>
      <c r="C65" s="13" t="s">
        <v>226</v>
      </c>
      <c r="D65" s="14" t="str">
        <f>IFERROR(INDEX(Case_study!$B$4:$B$15,MATCH(C65,Case_study!$A$4:$A$15,0)),"")</f>
        <v>Lỗi, làm rõ và ngoại tuyến</v>
      </c>
      <c r="E65" s="14" t="s">
        <v>1117</v>
      </c>
      <c r="F65" s="14" t="s">
        <v>1098</v>
      </c>
      <c r="G65" s="14" t="s">
        <v>1121</v>
      </c>
      <c r="H65" s="14" t="s">
        <v>1121</v>
      </c>
      <c r="I65" s="14" t="s">
        <v>887</v>
      </c>
      <c r="J65" s="14"/>
      <c r="K65" s="14" t="s">
        <v>895</v>
      </c>
      <c r="L65" s="14" t="s">
        <v>895</v>
      </c>
      <c r="M65" s="14" t="s">
        <v>890</v>
      </c>
      <c r="N65" s="14" t="s">
        <v>1119</v>
      </c>
      <c r="O65" s="13">
        <f t="shared" si="2"/>
        <v>2</v>
      </c>
      <c r="P65" s="14" t="str">
        <f t="shared" si="3"/>
        <v>Rất ngắn (≤3)</v>
      </c>
      <c r="Q65" s="13">
        <f>ROUND(O65/Tong_quan!$B$40,1)</f>
        <v>0.4</v>
      </c>
      <c r="R65" s="14" t="s">
        <v>891</v>
      </c>
    </row>
    <row r="66" spans="1:18" ht="26.4" x14ac:dyDescent="0.3">
      <c r="A66" s="14" t="s">
        <v>1122</v>
      </c>
      <c r="B66" s="13" t="s">
        <v>84</v>
      </c>
      <c r="C66" s="13" t="s">
        <v>226</v>
      </c>
      <c r="D66" s="14" t="str">
        <f>IFERROR(INDEX(Case_study!$B$4:$B$15,MATCH(C66,Case_study!$A$4:$A$15,0)),"")</f>
        <v>Lỗi, làm rõ và ngoại tuyến</v>
      </c>
      <c r="E66" s="14" t="s">
        <v>1123</v>
      </c>
      <c r="F66" s="14" t="s">
        <v>1098</v>
      </c>
      <c r="G66" s="14" t="s">
        <v>1124</v>
      </c>
      <c r="H66" s="14" t="s">
        <v>1124</v>
      </c>
      <c r="I66" s="14" t="s">
        <v>887</v>
      </c>
      <c r="J66" s="14"/>
      <c r="K66" s="14" t="s">
        <v>900</v>
      </c>
      <c r="L66" s="14" t="s">
        <v>901</v>
      </c>
      <c r="M66" s="14" t="s">
        <v>890</v>
      </c>
      <c r="N66" s="14" t="s">
        <v>665</v>
      </c>
      <c r="O66" s="13">
        <f t="shared" si="2"/>
        <v>1</v>
      </c>
      <c r="P66" s="14" t="str">
        <f t="shared" si="3"/>
        <v>Rất ngắn (≤3)</v>
      </c>
      <c r="Q66" s="13">
        <f>ROUND(O66/Tong_quan!$B$40,1)</f>
        <v>0.2</v>
      </c>
      <c r="R66" s="14"/>
    </row>
    <row r="67" spans="1:18" ht="26.4" x14ac:dyDescent="0.3">
      <c r="A67" s="14" t="s">
        <v>1125</v>
      </c>
      <c r="B67" s="13" t="s">
        <v>84</v>
      </c>
      <c r="C67" s="13" t="s">
        <v>226</v>
      </c>
      <c r="D67" s="14" t="str">
        <f>IFERROR(INDEX(Case_study!$B$4:$B$15,MATCH(C67,Case_study!$A$4:$A$15,0)),"")</f>
        <v>Lỗi, làm rõ và ngoại tuyến</v>
      </c>
      <c r="E67" s="14" t="s">
        <v>1126</v>
      </c>
      <c r="F67" s="14" t="s">
        <v>1098</v>
      </c>
      <c r="G67" s="14" t="s">
        <v>1127</v>
      </c>
      <c r="H67" s="14" t="s">
        <v>1127</v>
      </c>
      <c r="I67" s="14" t="s">
        <v>887</v>
      </c>
      <c r="J67" s="14" t="s">
        <v>748</v>
      </c>
      <c r="K67" s="14" t="s">
        <v>900</v>
      </c>
      <c r="L67" s="14" t="s">
        <v>901</v>
      </c>
      <c r="M67" s="14" t="s">
        <v>890</v>
      </c>
      <c r="N67" s="14" t="s">
        <v>839</v>
      </c>
      <c r="O67" s="13">
        <f t="shared" si="2"/>
        <v>1</v>
      </c>
      <c r="P67" s="14" t="str">
        <f t="shared" si="3"/>
        <v>Rất ngắn (≤3)</v>
      </c>
      <c r="Q67" s="13">
        <f>ROUND(O67/Tong_quan!$B$40,1)</f>
        <v>0.2</v>
      </c>
      <c r="R67" s="14"/>
    </row>
    <row r="68" spans="1:18" ht="26.4" x14ac:dyDescent="0.3">
      <c r="A68" s="14" t="s">
        <v>1128</v>
      </c>
      <c r="B68" s="13" t="s">
        <v>84</v>
      </c>
      <c r="C68" s="13" t="s">
        <v>226</v>
      </c>
      <c r="D68" s="14" t="str">
        <f>IFERROR(INDEX(Case_study!$B$4:$B$15,MATCH(C68,Case_study!$A$4:$A$15,0)),"")</f>
        <v>Lỗi, làm rõ và ngoại tuyến</v>
      </c>
      <c r="E68" s="14" t="s">
        <v>1129</v>
      </c>
      <c r="F68" s="14" t="s">
        <v>1098</v>
      </c>
      <c r="G68" s="14" t="s">
        <v>1130</v>
      </c>
      <c r="H68" s="14" t="s">
        <v>1130</v>
      </c>
      <c r="I68" s="14" t="s">
        <v>887</v>
      </c>
      <c r="J68" s="14" t="s">
        <v>1131</v>
      </c>
      <c r="K68" s="14" t="s">
        <v>900</v>
      </c>
      <c r="L68" s="14" t="s">
        <v>901</v>
      </c>
      <c r="M68" s="14" t="s">
        <v>890</v>
      </c>
      <c r="N68" s="14" t="s">
        <v>839</v>
      </c>
      <c r="O68" s="13">
        <f t="shared" ref="O68:O82" si="4">LEN(TRIM(H68))-LEN(SUBSTITUTE(TRIM(H68)," ",""))+1</f>
        <v>2</v>
      </c>
      <c r="P68" s="14" t="str">
        <f t="shared" ref="P68:P99" si="5">IF(O68&lt;=3,"Rất ngắn (≤3)",IF(O68&lt;=8,"Ngắn (4–8)","Thường (&gt;8)"))</f>
        <v>Rất ngắn (≤3)</v>
      </c>
      <c r="Q68" s="13">
        <f>ROUND(O68/Tong_quan!$B$40,1)</f>
        <v>0.4</v>
      </c>
      <c r="R68" s="14"/>
    </row>
    <row r="69" spans="1:18" ht="26.4" x14ac:dyDescent="0.3">
      <c r="A69" s="14" t="s">
        <v>1132</v>
      </c>
      <c r="B69" s="13" t="s">
        <v>100</v>
      </c>
      <c r="C69" s="13" t="s">
        <v>150</v>
      </c>
      <c r="D69" s="14" t="str">
        <f>IFERROR(INDEX(Case_study!$B$4:$B$15,MATCH(C69,Case_study!$A$4:$A$15,0)),"")</f>
        <v>Điều khiển xe</v>
      </c>
      <c r="E69" s="14" t="s">
        <v>1133</v>
      </c>
      <c r="F69" s="14" t="s">
        <v>884</v>
      </c>
      <c r="G69" s="14" t="s">
        <v>1134</v>
      </c>
      <c r="H69" s="14" t="s">
        <v>1134</v>
      </c>
      <c r="I69" s="14" t="s">
        <v>887</v>
      </c>
      <c r="J69" s="14"/>
      <c r="K69" s="14" t="s">
        <v>900</v>
      </c>
      <c r="L69" s="14" t="s">
        <v>901</v>
      </c>
      <c r="M69" s="14" t="s">
        <v>890</v>
      </c>
      <c r="N69" s="14" t="s">
        <v>665</v>
      </c>
      <c r="O69" s="13">
        <f t="shared" si="4"/>
        <v>2</v>
      </c>
      <c r="P69" s="14" t="str">
        <f t="shared" si="5"/>
        <v>Rất ngắn (≤3)</v>
      </c>
      <c r="Q69" s="13">
        <f>ROUND(O69/Tong_quan!$B$40,1)</f>
        <v>0.4</v>
      </c>
      <c r="R69" s="14" t="s">
        <v>1135</v>
      </c>
    </row>
    <row r="70" spans="1:18" x14ac:dyDescent="0.3">
      <c r="A70" s="14" t="s">
        <v>1136</v>
      </c>
      <c r="B70" s="13" t="s">
        <v>100</v>
      </c>
      <c r="C70" s="13" t="s">
        <v>132</v>
      </c>
      <c r="D70" s="14" t="str">
        <f>IFERROR(INDEX(Case_study!$B$4:$B$15,MATCH(C70,Case_study!$A$4:$A$15,0)),"")</f>
        <v>Dẫn đường</v>
      </c>
      <c r="E70" s="14" t="s">
        <v>1133</v>
      </c>
      <c r="F70" s="14" t="s">
        <v>884</v>
      </c>
      <c r="G70" s="14" t="s">
        <v>1137</v>
      </c>
      <c r="H70" s="14" t="s">
        <v>1137</v>
      </c>
      <c r="I70" s="14" t="s">
        <v>887</v>
      </c>
      <c r="J70" s="14"/>
      <c r="K70" s="14" t="s">
        <v>889</v>
      </c>
      <c r="L70" s="14" t="s">
        <v>889</v>
      </c>
      <c r="M70" s="14" t="s">
        <v>890</v>
      </c>
      <c r="N70" s="14" t="s">
        <v>1138</v>
      </c>
      <c r="O70" s="13">
        <f t="shared" si="4"/>
        <v>2</v>
      </c>
      <c r="P70" s="14" t="str">
        <f t="shared" si="5"/>
        <v>Rất ngắn (≤3)</v>
      </c>
      <c r="Q70" s="13">
        <f>ROUND(O70/Tong_quan!$B$40,1)</f>
        <v>0.4</v>
      </c>
      <c r="R70" s="14"/>
    </row>
    <row r="71" spans="1:18" ht="26.4" x14ac:dyDescent="0.3">
      <c r="A71" s="14" t="s">
        <v>1139</v>
      </c>
      <c r="B71" s="13" t="s">
        <v>100</v>
      </c>
      <c r="C71" s="13" t="s">
        <v>226</v>
      </c>
      <c r="D71" s="14" t="str">
        <f>IFERROR(INDEX(Case_study!$B$4:$B$15,MATCH(C71,Case_study!$A$4:$A$15,0)),"")</f>
        <v>Lỗi, làm rõ và ngoại tuyến</v>
      </c>
      <c r="E71" s="14" t="s">
        <v>1133</v>
      </c>
      <c r="F71" s="14" t="s">
        <v>1098</v>
      </c>
      <c r="G71" s="14" t="s">
        <v>1140</v>
      </c>
      <c r="H71" s="14" t="s">
        <v>1140</v>
      </c>
      <c r="I71" s="14" t="s">
        <v>887</v>
      </c>
      <c r="J71" s="14"/>
      <c r="K71" s="14" t="s">
        <v>900</v>
      </c>
      <c r="L71" s="14" t="s">
        <v>901</v>
      </c>
      <c r="M71" s="14" t="s">
        <v>890</v>
      </c>
      <c r="N71" s="14" t="s">
        <v>665</v>
      </c>
      <c r="O71" s="13">
        <f t="shared" si="4"/>
        <v>1</v>
      </c>
      <c r="P71" s="14" t="str">
        <f t="shared" si="5"/>
        <v>Rất ngắn (≤3)</v>
      </c>
      <c r="Q71" s="13">
        <f>ROUND(O71/Tong_quan!$B$40,1)</f>
        <v>0.2</v>
      </c>
      <c r="R71" s="14" t="s">
        <v>1141</v>
      </c>
    </row>
    <row r="72" spans="1:18" ht="26.4" x14ac:dyDescent="0.3">
      <c r="A72" s="14" t="s">
        <v>1142</v>
      </c>
      <c r="B72" s="13" t="s">
        <v>100</v>
      </c>
      <c r="C72" s="13" t="s">
        <v>167</v>
      </c>
      <c r="D72" s="14" t="str">
        <f>IFERROR(INDEX(Case_study!$B$4:$B$15,MATCH(C72,Case_study!$A$4:$A$15,0)),"")</f>
        <v>Điện thoại và tin nhắn</v>
      </c>
      <c r="E72" s="14" t="s">
        <v>1143</v>
      </c>
      <c r="F72" s="14" t="s">
        <v>884</v>
      </c>
      <c r="G72" s="14" t="s">
        <v>1144</v>
      </c>
      <c r="H72" s="14" t="s">
        <v>1145</v>
      </c>
      <c r="I72" s="14" t="s">
        <v>887</v>
      </c>
      <c r="J72" s="14" t="s">
        <v>1001</v>
      </c>
      <c r="K72" s="14" t="s">
        <v>900</v>
      </c>
      <c r="L72" s="14" t="s">
        <v>901</v>
      </c>
      <c r="M72" s="14" t="s">
        <v>890</v>
      </c>
      <c r="N72" s="14" t="s">
        <v>639</v>
      </c>
      <c r="O72" s="13">
        <f t="shared" si="4"/>
        <v>12</v>
      </c>
      <c r="P72" s="14" t="str">
        <f t="shared" si="5"/>
        <v>Thường (&gt;8)</v>
      </c>
      <c r="Q72" s="13">
        <f>ROUND(O72/Tong_quan!$B$40,1)</f>
        <v>2.7</v>
      </c>
      <c r="R72" s="14"/>
    </row>
    <row r="73" spans="1:18" ht="26.4" x14ac:dyDescent="0.3">
      <c r="A73" s="14" t="s">
        <v>1146</v>
      </c>
      <c r="B73" s="13" t="s">
        <v>100</v>
      </c>
      <c r="C73" s="13" t="s">
        <v>209</v>
      </c>
      <c r="D73" s="14" t="str">
        <f>IFERROR(INDEX(Case_study!$B$4:$B$15,MATCH(C73,Case_study!$A$4:$A$15,0)),"")</f>
        <v>Hội thoại và gợi ý chủ động</v>
      </c>
      <c r="E73" s="14" t="s">
        <v>1147</v>
      </c>
      <c r="F73" s="14" t="s">
        <v>898</v>
      </c>
      <c r="G73" s="14" t="s">
        <v>1148</v>
      </c>
      <c r="H73" s="14" t="s">
        <v>1148</v>
      </c>
      <c r="I73" s="14" t="s">
        <v>887</v>
      </c>
      <c r="J73" s="14"/>
      <c r="K73" s="14" t="s">
        <v>900</v>
      </c>
      <c r="L73" s="14" t="s">
        <v>901</v>
      </c>
      <c r="M73" s="14" t="s">
        <v>890</v>
      </c>
      <c r="N73" s="14" t="s">
        <v>1149</v>
      </c>
      <c r="O73" s="13">
        <f t="shared" si="4"/>
        <v>4</v>
      </c>
      <c r="P73" s="14" t="str">
        <f t="shared" si="5"/>
        <v>Ngắn (4–8)</v>
      </c>
      <c r="Q73" s="13">
        <f>ROUND(O73/Tong_quan!$B$40,1)</f>
        <v>0.9</v>
      </c>
      <c r="R73" s="14" t="s">
        <v>1150</v>
      </c>
    </row>
    <row r="74" spans="1:18" ht="26.4" x14ac:dyDescent="0.3">
      <c r="A74" s="14" t="s">
        <v>1151</v>
      </c>
      <c r="B74" s="13" t="s">
        <v>100</v>
      </c>
      <c r="C74" s="13" t="s">
        <v>209</v>
      </c>
      <c r="D74" s="14" t="str">
        <f>IFERROR(INDEX(Case_study!$B$4:$B$15,MATCH(C74,Case_study!$A$4:$A$15,0)),"")</f>
        <v>Hội thoại và gợi ý chủ động</v>
      </c>
      <c r="E74" s="14" t="s">
        <v>1147</v>
      </c>
      <c r="F74" s="14" t="s">
        <v>898</v>
      </c>
      <c r="G74" s="14" t="s">
        <v>1152</v>
      </c>
      <c r="H74" s="14" t="s">
        <v>1152</v>
      </c>
      <c r="I74" s="14" t="s">
        <v>887</v>
      </c>
      <c r="J74" s="14"/>
      <c r="K74" s="14" t="s">
        <v>900</v>
      </c>
      <c r="L74" s="14" t="s">
        <v>901</v>
      </c>
      <c r="M74" s="14" t="s">
        <v>890</v>
      </c>
      <c r="N74" s="14" t="s">
        <v>1149</v>
      </c>
      <c r="O74" s="13">
        <f t="shared" si="4"/>
        <v>4</v>
      </c>
      <c r="P74" s="14" t="str">
        <f t="shared" si="5"/>
        <v>Ngắn (4–8)</v>
      </c>
      <c r="Q74" s="13">
        <f>ROUND(O74/Tong_quan!$B$40,1)</f>
        <v>0.9</v>
      </c>
      <c r="R74" s="14" t="s">
        <v>1153</v>
      </c>
    </row>
    <row r="75" spans="1:18" ht="26.4" x14ac:dyDescent="0.3">
      <c r="A75" s="14" t="s">
        <v>1154</v>
      </c>
      <c r="B75" s="13" t="s">
        <v>100</v>
      </c>
      <c r="C75" s="13" t="s">
        <v>192</v>
      </c>
      <c r="D75" s="14" t="str">
        <f>IFERROR(INDEX(Case_study!$B$4:$B$15,MATCH(C75,Case_study!$A$4:$A$15,0)),"")</f>
        <v>Giao thông và thời tiết</v>
      </c>
      <c r="E75" s="14" t="s">
        <v>1147</v>
      </c>
      <c r="F75" s="14" t="s">
        <v>898</v>
      </c>
      <c r="G75" s="14" t="s">
        <v>1155</v>
      </c>
      <c r="H75" s="14" t="s">
        <v>1155</v>
      </c>
      <c r="I75" s="14" t="s">
        <v>887</v>
      </c>
      <c r="J75" s="14"/>
      <c r="K75" s="14" t="s">
        <v>900</v>
      </c>
      <c r="L75" s="14" t="s">
        <v>901</v>
      </c>
      <c r="M75" s="14" t="s">
        <v>890</v>
      </c>
      <c r="N75" s="14" t="s">
        <v>1149</v>
      </c>
      <c r="O75" s="13">
        <f t="shared" si="4"/>
        <v>8</v>
      </c>
      <c r="P75" s="14" t="str">
        <f t="shared" si="5"/>
        <v>Ngắn (4–8)</v>
      </c>
      <c r="Q75" s="13">
        <f>ROUND(O75/Tong_quan!$B$40,1)</f>
        <v>1.8</v>
      </c>
      <c r="R75" s="14" t="s">
        <v>1156</v>
      </c>
    </row>
    <row r="76" spans="1:18" ht="26.4" x14ac:dyDescent="0.3">
      <c r="A76" s="14" t="s">
        <v>1157</v>
      </c>
      <c r="B76" s="13" t="s">
        <v>100</v>
      </c>
      <c r="C76" s="13" t="s">
        <v>184</v>
      </c>
      <c r="D76" s="14" t="str">
        <f>IFERROR(INDEX(Case_study!$B$4:$B$15,MATCH(C76,Case_study!$A$4:$A$15,0)),"")</f>
        <v>Sạc xe điện và trạm nhiên liệu</v>
      </c>
      <c r="E76" s="14" t="s">
        <v>1158</v>
      </c>
      <c r="F76" s="14" t="s">
        <v>898</v>
      </c>
      <c r="G76" s="14" t="s">
        <v>1159</v>
      </c>
      <c r="H76" s="14" t="s">
        <v>1163</v>
      </c>
      <c r="I76" s="14" t="s">
        <v>887</v>
      </c>
      <c r="J76" s="14" t="s">
        <v>748</v>
      </c>
      <c r="K76" s="14" t="s">
        <v>889</v>
      </c>
      <c r="L76" s="14" t="s">
        <v>889</v>
      </c>
      <c r="M76" s="14" t="s">
        <v>890</v>
      </c>
      <c r="N76" s="14" t="s">
        <v>1161</v>
      </c>
      <c r="O76" s="13">
        <f t="shared" si="4"/>
        <v>8</v>
      </c>
      <c r="P76" s="14" t="str">
        <f t="shared" si="5"/>
        <v>Ngắn (4–8)</v>
      </c>
      <c r="Q76" s="13">
        <f>ROUND(O76/Tong_quan!$B$40,1)</f>
        <v>1.8</v>
      </c>
      <c r="R76" s="14" t="s">
        <v>891</v>
      </c>
    </row>
    <row r="77" spans="1:18" ht="26.4" x14ac:dyDescent="0.3">
      <c r="A77" s="14" t="s">
        <v>1162</v>
      </c>
      <c r="B77" s="13" t="s">
        <v>100</v>
      </c>
      <c r="C77" s="13" t="s">
        <v>184</v>
      </c>
      <c r="D77" s="14" t="str">
        <f>IFERROR(INDEX(Case_study!$B$4:$B$15,MATCH(C77,Case_study!$A$4:$A$15,0)),"")</f>
        <v>Sạc xe điện và trạm nhiên liệu</v>
      </c>
      <c r="E77" s="14" t="s">
        <v>1158</v>
      </c>
      <c r="F77" s="14" t="s">
        <v>898</v>
      </c>
      <c r="G77" s="14" t="s">
        <v>1159</v>
      </c>
      <c r="H77" s="14" t="s">
        <v>1160</v>
      </c>
      <c r="I77" s="14" t="s">
        <v>887</v>
      </c>
      <c r="J77" s="14" t="s">
        <v>748</v>
      </c>
      <c r="K77" s="14" t="s">
        <v>895</v>
      </c>
      <c r="L77" s="14" t="s">
        <v>895</v>
      </c>
      <c r="M77" s="14" t="s">
        <v>890</v>
      </c>
      <c r="N77" s="14" t="s">
        <v>1161</v>
      </c>
      <c r="O77" s="13">
        <f t="shared" si="4"/>
        <v>8</v>
      </c>
      <c r="P77" s="14" t="str">
        <f t="shared" si="5"/>
        <v>Ngắn (4–8)</v>
      </c>
      <c r="Q77" s="13">
        <f>ROUND(O77/Tong_quan!$B$40,1)</f>
        <v>1.8</v>
      </c>
      <c r="R77" s="14" t="s">
        <v>891</v>
      </c>
    </row>
    <row r="78" spans="1:18" ht="26.4" x14ac:dyDescent="0.3">
      <c r="A78" s="14" t="s">
        <v>1164</v>
      </c>
      <c r="B78" s="13" t="s">
        <v>100</v>
      </c>
      <c r="C78" s="13" t="s">
        <v>184</v>
      </c>
      <c r="D78" s="14" t="str">
        <f>IFERROR(INDEX(Case_study!$B$4:$B$15,MATCH(C78,Case_study!$A$4:$A$15,0)),"")</f>
        <v>Sạc xe điện và trạm nhiên liệu</v>
      </c>
      <c r="E78" s="14" t="s">
        <v>1165</v>
      </c>
      <c r="F78" s="14" t="s">
        <v>898</v>
      </c>
      <c r="G78" s="14" t="s">
        <v>1166</v>
      </c>
      <c r="H78" s="14" t="s">
        <v>1167</v>
      </c>
      <c r="I78" s="14" t="s">
        <v>887</v>
      </c>
      <c r="J78" s="14" t="s">
        <v>1168</v>
      </c>
      <c r="K78" s="14" t="s">
        <v>889</v>
      </c>
      <c r="L78" s="14" t="s">
        <v>889</v>
      </c>
      <c r="M78" s="14" t="s">
        <v>890</v>
      </c>
      <c r="N78" s="14" t="s">
        <v>1161</v>
      </c>
      <c r="O78" s="13">
        <f t="shared" si="4"/>
        <v>8</v>
      </c>
      <c r="P78" s="14" t="str">
        <f t="shared" si="5"/>
        <v>Ngắn (4–8)</v>
      </c>
      <c r="Q78" s="13">
        <f>ROUND(O78/Tong_quan!$B$40,1)</f>
        <v>1.8</v>
      </c>
      <c r="R78" s="14" t="s">
        <v>891</v>
      </c>
    </row>
    <row r="79" spans="1:18" ht="26.4" x14ac:dyDescent="0.3">
      <c r="A79" s="14" t="s">
        <v>1169</v>
      </c>
      <c r="B79" s="13" t="s">
        <v>100</v>
      </c>
      <c r="C79" s="13" t="s">
        <v>184</v>
      </c>
      <c r="D79" s="14" t="str">
        <f>IFERROR(INDEX(Case_study!$B$4:$B$15,MATCH(C79,Case_study!$A$4:$A$15,0)),"")</f>
        <v>Sạc xe điện và trạm nhiên liệu</v>
      </c>
      <c r="E79" s="14" t="s">
        <v>1165</v>
      </c>
      <c r="F79" s="14" t="s">
        <v>898</v>
      </c>
      <c r="G79" s="14" t="s">
        <v>1166</v>
      </c>
      <c r="H79" s="14" t="s">
        <v>1170</v>
      </c>
      <c r="I79" s="14" t="s">
        <v>887</v>
      </c>
      <c r="J79" s="14" t="s">
        <v>1168</v>
      </c>
      <c r="K79" s="14" t="s">
        <v>895</v>
      </c>
      <c r="L79" s="14" t="s">
        <v>895</v>
      </c>
      <c r="M79" s="14" t="s">
        <v>890</v>
      </c>
      <c r="N79" s="14" t="s">
        <v>1161</v>
      </c>
      <c r="O79" s="13">
        <f t="shared" si="4"/>
        <v>8</v>
      </c>
      <c r="P79" s="14" t="str">
        <f t="shared" si="5"/>
        <v>Ngắn (4–8)</v>
      </c>
      <c r="Q79" s="13">
        <f>ROUND(O79/Tong_quan!$B$40,1)</f>
        <v>1.8</v>
      </c>
      <c r="R79" s="14" t="s">
        <v>891</v>
      </c>
    </row>
    <row r="80" spans="1:18" ht="26.4" x14ac:dyDescent="0.3">
      <c r="A80" s="14" t="s">
        <v>1171</v>
      </c>
      <c r="B80" s="13" t="s">
        <v>100</v>
      </c>
      <c r="C80" s="13" t="s">
        <v>132</v>
      </c>
      <c r="D80" s="14" t="str">
        <f>IFERROR(INDEX(Case_study!$B$4:$B$15,MATCH(C80,Case_study!$A$4:$A$15,0)),"")</f>
        <v>Dẫn đường</v>
      </c>
      <c r="E80" s="14" t="s">
        <v>1172</v>
      </c>
      <c r="F80" s="14" t="s">
        <v>884</v>
      </c>
      <c r="G80" s="14" t="s">
        <v>1173</v>
      </c>
      <c r="H80" s="14" t="s">
        <v>1173</v>
      </c>
      <c r="I80" s="14" t="s">
        <v>887</v>
      </c>
      <c r="J80" s="14" t="s">
        <v>915</v>
      </c>
      <c r="K80" s="14" t="s">
        <v>900</v>
      </c>
      <c r="L80" s="14" t="s">
        <v>901</v>
      </c>
      <c r="M80" s="14" t="s">
        <v>890</v>
      </c>
      <c r="N80" s="14" t="s">
        <v>1174</v>
      </c>
      <c r="O80" s="13">
        <f t="shared" si="4"/>
        <v>8</v>
      </c>
      <c r="P80" s="14" t="str">
        <f t="shared" si="5"/>
        <v>Ngắn (4–8)</v>
      </c>
      <c r="Q80" s="13">
        <f>ROUND(O80/Tong_quan!$B$40,1)</f>
        <v>1.8</v>
      </c>
      <c r="R80" s="14"/>
    </row>
    <row r="81" spans="1:18" ht="26.4" x14ac:dyDescent="0.3">
      <c r="A81" s="14" t="s">
        <v>1175</v>
      </c>
      <c r="B81" s="13" t="s">
        <v>100</v>
      </c>
      <c r="C81" s="13" t="s">
        <v>192</v>
      </c>
      <c r="D81" s="14" t="str">
        <f>IFERROR(INDEX(Case_study!$B$4:$B$15,MATCH(C81,Case_study!$A$4:$A$15,0)),"")</f>
        <v>Giao thông và thời tiết</v>
      </c>
      <c r="E81" s="14" t="s">
        <v>1176</v>
      </c>
      <c r="F81" s="14" t="s">
        <v>898</v>
      </c>
      <c r="G81" s="14" t="s">
        <v>1177</v>
      </c>
      <c r="H81" s="14" t="s">
        <v>1177</v>
      </c>
      <c r="I81" s="14" t="s">
        <v>887</v>
      </c>
      <c r="J81" s="14"/>
      <c r="K81" s="14" t="s">
        <v>916</v>
      </c>
      <c r="L81" s="14" t="s">
        <v>916</v>
      </c>
      <c r="M81" s="14" t="s">
        <v>890</v>
      </c>
      <c r="N81" s="14" t="s">
        <v>1178</v>
      </c>
      <c r="O81" s="13">
        <f t="shared" si="4"/>
        <v>10</v>
      </c>
      <c r="P81" s="14" t="str">
        <f t="shared" si="5"/>
        <v>Thường (&gt;8)</v>
      </c>
      <c r="Q81" s="13">
        <f>ROUND(O81/Tong_quan!$B$40,1)</f>
        <v>2.2000000000000002</v>
      </c>
      <c r="R81" s="14" t="s">
        <v>1179</v>
      </c>
    </row>
    <row r="82" spans="1:18" ht="26.4" x14ac:dyDescent="0.3">
      <c r="A82" s="14" t="s">
        <v>1180</v>
      </c>
      <c r="B82" s="13" t="s">
        <v>100</v>
      </c>
      <c r="C82" s="13" t="s">
        <v>150</v>
      </c>
      <c r="D82" s="14" t="str">
        <f>IFERROR(INDEX(Case_study!$B$4:$B$15,MATCH(C82,Case_study!$A$4:$A$15,0)),"")</f>
        <v>Điều khiển xe</v>
      </c>
      <c r="E82" s="14" t="s">
        <v>1181</v>
      </c>
      <c r="F82" s="14" t="s">
        <v>884</v>
      </c>
      <c r="G82" s="14" t="s">
        <v>1182</v>
      </c>
      <c r="H82" s="14" t="s">
        <v>1182</v>
      </c>
      <c r="I82" s="14" t="s">
        <v>955</v>
      </c>
      <c r="J82" s="14" t="s">
        <v>1183</v>
      </c>
      <c r="K82" s="14" t="s">
        <v>900</v>
      </c>
      <c r="L82" s="14" t="s">
        <v>901</v>
      </c>
      <c r="M82" s="14" t="s">
        <v>890</v>
      </c>
      <c r="N82" s="14" t="s">
        <v>1184</v>
      </c>
      <c r="O82" s="13">
        <f t="shared" si="4"/>
        <v>6</v>
      </c>
      <c r="P82" s="14" t="str">
        <f t="shared" si="5"/>
        <v>Ngắn (4–8)</v>
      </c>
      <c r="Q82" s="13">
        <f>ROUND(O82/Tong_quan!$B$40,1)</f>
        <v>1.3</v>
      </c>
      <c r="R82" s="14"/>
    </row>
  </sheetData>
  <autoFilter ref="A3:R82" xr:uid="{00000000-0009-0000-0000-000007000000}"/>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7">
        <x14:dataValidation type="list" allowBlank="1" error="Chọn giá trị trong danh sách (sheet Tu_vung)." xr:uid="{00000000-0002-0000-0700-000000000000}">
          <x14:formula1>
            <xm:f>Tu_vung!$A$2:$A$6</xm:f>
          </x14:formula1>
          <x14:formula2>
            <xm:f>0</xm:f>
          </x14:formula2>
          <xm:sqref>B4:B300</xm:sqref>
        </x14:dataValidation>
        <x14:dataValidation type="list" allowBlank="1" error="Chọn giá trị trong danh sách (sheet Tu_vung)." xr:uid="{00000000-0002-0000-0700-000001000000}">
          <x14:formula1>
            <xm:f>Tu_vung!$Q$2:$Q$13</xm:f>
          </x14:formula1>
          <x14:formula2>
            <xm:f>0</xm:f>
          </x14:formula2>
          <xm:sqref>C4:C300</xm:sqref>
        </x14:dataValidation>
        <x14:dataValidation type="list" allowBlank="1" error="Chọn giá trị trong danh sách (sheet Tu_vung)." xr:uid="{00000000-0002-0000-0700-000002000000}">
          <x14:formula1>
            <xm:f>Tu_vung!$B$2:$B$6</xm:f>
          </x14:formula1>
          <x14:formula2>
            <xm:f>0</xm:f>
          </x14:formula2>
          <xm:sqref>F4:F300</xm:sqref>
        </x14:dataValidation>
        <x14:dataValidation type="list" allowBlank="1" error="Chọn giá trị trong danh sách (sheet Tu_vung)." xr:uid="{00000000-0002-0000-0700-000003000000}">
          <x14:formula1>
            <xm:f>Tu_vung!$F$2:$F$3</xm:f>
          </x14:formula1>
          <x14:formula2>
            <xm:f>0</xm:f>
          </x14:formula2>
          <xm:sqref>I4:I300</xm:sqref>
        </x14:dataValidation>
        <x14:dataValidation type="list" allowBlank="1" error="Chọn giá trị trong danh sách (sheet Tu_vung)." xr:uid="{00000000-0002-0000-0700-000004000000}">
          <x14:formula1>
            <xm:f>Tu_vung!$C$2:$C$5</xm:f>
          </x14:formula1>
          <x14:formula2>
            <xm:f>0</xm:f>
          </x14:formula2>
          <xm:sqref>K4:K300</xm:sqref>
        </x14:dataValidation>
        <x14:dataValidation type="list" allowBlank="1" error="Chọn giá trị trong danh sách (sheet Tu_vung)." xr:uid="{00000000-0002-0000-0700-000005000000}">
          <x14:formula1>
            <xm:f>Tu_vung!$D$2:$D$5</xm:f>
          </x14:formula1>
          <x14:formula2>
            <xm:f>0</xm:f>
          </x14:formula2>
          <xm:sqref>L4:L300</xm:sqref>
        </x14:dataValidation>
        <x14:dataValidation type="list" allowBlank="1" error="Chọn giá trị trong danh sách (sheet Tu_vung)." xr:uid="{00000000-0002-0000-0700-000006000000}">
          <x14:formula1>
            <xm:f>Tu_vung!$E$2:$E$7</xm:f>
          </x14:formula1>
          <x14:formula2>
            <xm:f>0</xm:f>
          </x14:formula2>
          <xm:sqref>M4:M300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7"/>
  <sheetViews>
    <sheetView showGridLines="0" topLeftCell="A30" zoomScaleNormal="100" workbookViewId="0">
      <selection activeCell="B15" sqref="B15"/>
    </sheetView>
  </sheetViews>
  <sheetFormatPr defaultColWidth="8.6640625" defaultRowHeight="14.4" x14ac:dyDescent="0.3"/>
  <cols>
    <col min="1" max="1" width="44" customWidth="1"/>
    <col min="2" max="2" width="14" customWidth="1"/>
    <col min="3" max="3" width="44" customWidth="1"/>
    <col min="4" max="4" width="18" customWidth="1"/>
    <col min="5" max="5" width="22" customWidth="1"/>
    <col min="6" max="6" width="28" customWidth="1"/>
    <col min="7" max="7" width="20" customWidth="1"/>
    <col min="8" max="9" width="14" customWidth="1"/>
  </cols>
  <sheetData>
    <row r="1" spans="1:3" ht="17.399999999999999" x14ac:dyDescent="0.3">
      <c r="A1" s="1" t="s">
        <v>1185</v>
      </c>
    </row>
    <row r="2" spans="1:3" x14ac:dyDescent="0.3">
      <c r="A2" s="2" t="s">
        <v>1186</v>
      </c>
    </row>
    <row r="4" spans="1:3" x14ac:dyDescent="0.3">
      <c r="A4" s="11" t="s">
        <v>1187</v>
      </c>
      <c r="B4" s="11" t="s">
        <v>1188</v>
      </c>
      <c r="C4" s="11" t="s">
        <v>1189</v>
      </c>
    </row>
    <row r="5" spans="1:3" ht="26.4" x14ac:dyDescent="0.3">
      <c r="A5" s="21" t="s">
        <v>1190</v>
      </c>
      <c r="B5" s="22">
        <v>60</v>
      </c>
      <c r="C5" s="42" t="s">
        <v>1747</v>
      </c>
    </row>
    <row r="6" spans="1:3" x14ac:dyDescent="0.3">
      <c r="A6" s="21" t="s">
        <v>1191</v>
      </c>
      <c r="B6" s="23">
        <v>0.3</v>
      </c>
      <c r="C6" s="14" t="s">
        <v>1192</v>
      </c>
    </row>
    <row r="7" spans="1:3" ht="26.4" x14ac:dyDescent="0.3">
      <c r="A7" s="21" t="s">
        <v>1193</v>
      </c>
      <c r="B7" s="23">
        <v>0.4</v>
      </c>
      <c r="C7" s="14" t="s">
        <v>1194</v>
      </c>
    </row>
    <row r="8" spans="1:3" x14ac:dyDescent="0.3">
      <c r="A8" s="21" t="s">
        <v>1195</v>
      </c>
      <c r="B8" s="23">
        <v>0.3</v>
      </c>
      <c r="C8" s="14" t="s">
        <v>1192</v>
      </c>
    </row>
    <row r="9" spans="1:3" x14ac:dyDescent="0.3">
      <c r="A9" s="21" t="s">
        <v>1196</v>
      </c>
      <c r="B9" s="24">
        <f>SUM(B6:B8)</f>
        <v>1</v>
      </c>
      <c r="C9" s="21" t="str">
        <f>IF(ROUND(B9,6)=1,"OK","Tổng khác 100%")</f>
        <v>OK</v>
      </c>
    </row>
    <row r="10" spans="1:3" x14ac:dyDescent="0.3">
      <c r="A10" s="21" t="s">
        <v>1197</v>
      </c>
      <c r="B10" s="23">
        <v>0.5</v>
      </c>
      <c r="C10" s="14" t="s">
        <v>1198</v>
      </c>
    </row>
    <row r="11" spans="1:3" ht="26.4" x14ac:dyDescent="0.3">
      <c r="A11" s="21" t="s">
        <v>1199</v>
      </c>
      <c r="B11" s="25">
        <v>10000</v>
      </c>
      <c r="C11" s="14" t="s">
        <v>1200</v>
      </c>
    </row>
    <row r="12" spans="1:3" ht="26.4" x14ac:dyDescent="0.3">
      <c r="A12" s="21" t="s">
        <v>1201</v>
      </c>
      <c r="B12" s="22">
        <v>5</v>
      </c>
      <c r="C12" s="14" t="s">
        <v>1202</v>
      </c>
    </row>
    <row r="13" spans="1:3" ht="39.6" x14ac:dyDescent="0.3">
      <c r="A13" s="21" t="s">
        <v>1203</v>
      </c>
      <c r="B13" s="26">
        <v>3.5</v>
      </c>
      <c r="C13" s="14" t="str">
        <f>"Trung bình các câu trong Mau_cau: "&amp;TEXT(AVERAGE(Mau_cau!$Q$4:$Q$300),"0.0")&amp;" giây (câu mẫu ngắn hơn câu thật nhiều nên chỉnh theo dữ liệu thật)."</f>
        <v>Trung bình các câu trong Mau_cau: 1.3 giây (câu mẫu ngắn hơn câu thật nhiều nên chỉnh theo dữ liệu thật).</v>
      </c>
    </row>
    <row r="14" spans="1:3" ht="26.4" x14ac:dyDescent="0.3">
      <c r="A14" s="21" t="s">
        <v>1204</v>
      </c>
      <c r="B14" s="26">
        <v>1</v>
      </c>
      <c r="C14" s="14" t="s">
        <v>1205</v>
      </c>
    </row>
    <row r="15" spans="1:3" ht="26.4" x14ac:dyDescent="0.3">
      <c r="A15" s="21" t="s">
        <v>1206</v>
      </c>
      <c r="B15" s="26">
        <v>1</v>
      </c>
      <c r="C15" s="14" t="s">
        <v>1207</v>
      </c>
    </row>
    <row r="16" spans="1:3" x14ac:dyDescent="0.3">
      <c r="A16" s="21" t="s">
        <v>1208</v>
      </c>
      <c r="B16" s="25">
        <v>100</v>
      </c>
      <c r="C16" s="14" t="s">
        <v>1209</v>
      </c>
    </row>
    <row r="18" spans="1:9" x14ac:dyDescent="0.3">
      <c r="A18" s="7" t="s">
        <v>1210</v>
      </c>
    </row>
    <row r="19" spans="1:9" x14ac:dyDescent="0.3">
      <c r="A19" s="11" t="s">
        <v>1211</v>
      </c>
      <c r="B19" s="12" t="s">
        <v>1212</v>
      </c>
      <c r="C19" s="12" t="s">
        <v>1213</v>
      </c>
      <c r="D19" s="12" t="s">
        <v>1214</v>
      </c>
      <c r="E19" s="12" t="s">
        <v>895</v>
      </c>
      <c r="F19" s="12" t="s">
        <v>1215</v>
      </c>
      <c r="G19" s="12" t="s">
        <v>1216</v>
      </c>
    </row>
    <row r="20" spans="1:9" x14ac:dyDescent="0.3">
      <c r="A20" s="18" t="s">
        <v>889</v>
      </c>
      <c r="B20" s="27">
        <f>B6</f>
        <v>0.3</v>
      </c>
      <c r="C20" s="13">
        <f>ROUND($B$5*B20,0)</f>
        <v>18</v>
      </c>
      <c r="D20" s="13">
        <f>ROUND(C20*$B$10,0)</f>
        <v>9</v>
      </c>
      <c r="E20" s="13">
        <f>C20-D20</f>
        <v>9</v>
      </c>
      <c r="F20" s="13">
        <f>COUNTIFS(Ho_so_nguoi_noi!$D$4:$D$300,A20,Ho_so_nguoi_noi!$Q$4:$Q$300,"&lt;&gt;Ví dụ",Ho_so_nguoi_noi!$Q$4:$Q$300,"&lt;&gt;Loại",Ho_so_nguoi_noi!$A$4:$A$300,"&lt;&gt;")</f>
        <v>0</v>
      </c>
      <c r="G20" s="13">
        <f>MAX(0,C20-F20)</f>
        <v>18</v>
      </c>
    </row>
    <row r="21" spans="1:9" x14ac:dyDescent="0.3">
      <c r="A21" s="18" t="s">
        <v>916</v>
      </c>
      <c r="B21" s="27">
        <f>B7</f>
        <v>0.4</v>
      </c>
      <c r="C21" s="13">
        <f>ROUND($B$5*B21,0)</f>
        <v>24</v>
      </c>
      <c r="D21" s="13">
        <f>ROUND(C21*$B$10,0)</f>
        <v>12</v>
      </c>
      <c r="E21" s="13">
        <f>C21-D21</f>
        <v>12</v>
      </c>
      <c r="F21" s="13">
        <f>COUNTIFS(Ho_so_nguoi_noi!$D$4:$D$300,A21,Ho_so_nguoi_noi!$Q$4:$Q$300,"&lt;&gt;Ví dụ",Ho_so_nguoi_noi!$Q$4:$Q$300,"&lt;&gt;Loại",Ho_so_nguoi_noi!$A$4:$A$300,"&lt;&gt;")</f>
        <v>0</v>
      </c>
      <c r="G21" s="13">
        <f>MAX(0,C21-F21)</f>
        <v>24</v>
      </c>
    </row>
    <row r="22" spans="1:9" x14ac:dyDescent="0.3">
      <c r="A22" s="18" t="s">
        <v>895</v>
      </c>
      <c r="B22" s="27">
        <f>B8</f>
        <v>0.3</v>
      </c>
      <c r="C22" s="13">
        <f>$B$5-C20-C21</f>
        <v>18</v>
      </c>
      <c r="D22" s="13">
        <f>ROUND(C22*$B$10,0)</f>
        <v>9</v>
      </c>
      <c r="E22" s="13">
        <f>C22-D22</f>
        <v>9</v>
      </c>
      <c r="F22" s="13">
        <f>COUNTIFS(Ho_so_nguoi_noi!$D$4:$D$300,A22,Ho_so_nguoi_noi!$Q$4:$Q$300,"&lt;&gt;Ví dụ",Ho_so_nguoi_noi!$Q$4:$Q$300,"&lt;&gt;Loại",Ho_so_nguoi_noi!$A$4:$A$300,"&lt;&gt;")</f>
        <v>0</v>
      </c>
      <c r="G22" s="13">
        <f>MAX(0,C22-F22)</f>
        <v>18</v>
      </c>
    </row>
    <row r="23" spans="1:9" x14ac:dyDescent="0.3">
      <c r="A23" s="18" t="s">
        <v>692</v>
      </c>
      <c r="B23" s="28"/>
      <c r="C23" s="28">
        <f>SUM(C20:C22)</f>
        <v>60</v>
      </c>
      <c r="D23" s="28">
        <f>SUM(D20:D22)</f>
        <v>30</v>
      </c>
      <c r="E23" s="28">
        <f>SUM(E20:E22)</f>
        <v>30</v>
      </c>
      <c r="F23" s="28">
        <f>SUM(F20:F22)</f>
        <v>0</v>
      </c>
      <c r="G23" s="28">
        <f>SUM(G20:G22)</f>
        <v>60</v>
      </c>
    </row>
    <row r="25" spans="1:9" x14ac:dyDescent="0.3">
      <c r="A25" s="7" t="s">
        <v>1217</v>
      </c>
    </row>
    <row r="26" spans="1:9" ht="26.4" x14ac:dyDescent="0.3">
      <c r="A26" s="11" t="s">
        <v>696</v>
      </c>
      <c r="B26" s="11" t="s">
        <v>119</v>
      </c>
      <c r="C26" s="11" t="s">
        <v>1218</v>
      </c>
      <c r="D26" s="12" t="s">
        <v>1219</v>
      </c>
      <c r="E26" s="12" t="s">
        <v>1220</v>
      </c>
      <c r="F26" s="12" t="s">
        <v>1221</v>
      </c>
      <c r="G26" s="12" t="s">
        <v>1222</v>
      </c>
      <c r="H26" s="12" t="s">
        <v>1223</v>
      </c>
      <c r="I26" s="12" t="s">
        <v>1224</v>
      </c>
    </row>
    <row r="27" spans="1:9" x14ac:dyDescent="0.3">
      <c r="A27" s="14" t="s">
        <v>132</v>
      </c>
      <c r="B27" s="14" t="str">
        <f>INDEX(Case_study!$B$4:$B$15,MATCH(A27,Case_study!$A$4:$A$15,0))</f>
        <v>Dẫn đường</v>
      </c>
      <c r="C27" s="29">
        <v>0.15</v>
      </c>
      <c r="D27" s="30">
        <f t="shared" ref="D27:D38" si="0">ROUND($B$11*C27,0)</f>
        <v>1500</v>
      </c>
      <c r="E27" s="30">
        <f>SUMIF(Mau_khung!$B$4:$B$61,A27,Mau_khung!$N$4:$N$61)</f>
        <v>2708</v>
      </c>
      <c r="F27" s="14" t="str">
        <f t="shared" ref="F27:F38" si="1">IF(E27&gt;=D27,"Đủ khung","Cần thêm khung hoặc diễn đạt lại")</f>
        <v>Đủ khung</v>
      </c>
      <c r="G27" s="13">
        <f>COUNTIFS(Mau_cau!$C$4:$C$300,A27,Mau_cau!$B$4:$B$300,"&lt;&gt;M4")</f>
        <v>8</v>
      </c>
      <c r="H27" s="30">
        <f t="shared" ref="H27:H38" si="2">D27*$B$12</f>
        <v>7500</v>
      </c>
      <c r="I27" s="31">
        <f t="shared" ref="I27:I38" si="3">H27*$B$13/3600</f>
        <v>7.291666666666667</v>
      </c>
    </row>
    <row r="28" spans="1:9" ht="26.4" x14ac:dyDescent="0.3">
      <c r="A28" s="14" t="s">
        <v>140</v>
      </c>
      <c r="B28" s="14" t="str">
        <f>INDEX(Case_study!$B$4:$B$15,MATCH(A28,Case_study!$A$4:$A$15,0))</f>
        <v>Cảnh báo an toàn (ADAS)</v>
      </c>
      <c r="C28" s="29">
        <v>0.03</v>
      </c>
      <c r="D28" s="30">
        <f t="shared" si="0"/>
        <v>300</v>
      </c>
      <c r="E28" s="30">
        <f>SUMIF(Mau_khung!$B$4:$B$61,A28,Mau_khung!$N$4:$N$61)</f>
        <v>0</v>
      </c>
      <c r="F28" s="14" t="str">
        <f t="shared" si="1"/>
        <v>Cần thêm khung hoặc diễn đạt lại</v>
      </c>
      <c r="G28" s="13">
        <f>COUNTIFS(Mau_cau!$C$4:$C$300,A28,Mau_cau!$B$4:$B$300,"&lt;&gt;M4")</f>
        <v>2</v>
      </c>
      <c r="H28" s="30">
        <f t="shared" si="2"/>
        <v>1500</v>
      </c>
      <c r="I28" s="31">
        <f t="shared" si="3"/>
        <v>1.4583333333333333</v>
      </c>
    </row>
    <row r="29" spans="1:9" ht="26.4" x14ac:dyDescent="0.3">
      <c r="A29" s="14" t="s">
        <v>150</v>
      </c>
      <c r="B29" s="14" t="str">
        <f>INDEX(Case_study!$B$4:$B$15,MATCH(A29,Case_study!$A$4:$A$15,0))</f>
        <v>Điều khiển xe</v>
      </c>
      <c r="C29" s="29">
        <v>0.14000000000000001</v>
      </c>
      <c r="D29" s="30">
        <f t="shared" si="0"/>
        <v>1400</v>
      </c>
      <c r="E29" s="30">
        <f>SUMIF(Mau_khung!$B$4:$B$61,A29,Mau_khung!$N$4:$N$61)</f>
        <v>90</v>
      </c>
      <c r="F29" s="14" t="str">
        <f t="shared" si="1"/>
        <v>Cần thêm khung hoặc diễn đạt lại</v>
      </c>
      <c r="G29" s="13">
        <f>COUNTIFS(Mau_cau!$C$4:$C$300,A29,Mau_cau!$B$4:$B$300,"&lt;&gt;M4")</f>
        <v>9</v>
      </c>
      <c r="H29" s="30">
        <f t="shared" si="2"/>
        <v>7000</v>
      </c>
      <c r="I29" s="31">
        <f t="shared" si="3"/>
        <v>6.8055555555555554</v>
      </c>
    </row>
    <row r="30" spans="1:9" ht="26.4" x14ac:dyDescent="0.3">
      <c r="A30" s="14" t="s">
        <v>159</v>
      </c>
      <c r="B30" s="14" t="str">
        <f>INDEX(Case_study!$B$4:$B$15,MATCH(A30,Case_study!$A$4:$A$15,0))</f>
        <v>Giải trí (nhạc, radio)</v>
      </c>
      <c r="C30" s="29">
        <v>0.12</v>
      </c>
      <c r="D30" s="30">
        <f t="shared" si="0"/>
        <v>1200</v>
      </c>
      <c r="E30" s="30">
        <f>SUMIF(Mau_khung!$B$4:$B$61,A30,Mau_khung!$N$4:$N$61)</f>
        <v>400</v>
      </c>
      <c r="F30" s="14" t="str">
        <f t="shared" si="1"/>
        <v>Cần thêm khung hoặc diễn đạt lại</v>
      </c>
      <c r="G30" s="13">
        <f>COUNTIFS(Mau_cau!$C$4:$C$300,A30,Mau_cau!$B$4:$B$300,"&lt;&gt;M4")</f>
        <v>5</v>
      </c>
      <c r="H30" s="30">
        <f t="shared" si="2"/>
        <v>6000</v>
      </c>
      <c r="I30" s="31">
        <f t="shared" si="3"/>
        <v>5.833333333333333</v>
      </c>
    </row>
    <row r="31" spans="1:9" ht="26.4" x14ac:dyDescent="0.3">
      <c r="A31" s="14" t="s">
        <v>167</v>
      </c>
      <c r="B31" s="14" t="str">
        <f>INDEX(Case_study!$B$4:$B$15,MATCH(A31,Case_study!$A$4:$A$15,0))</f>
        <v>Điện thoại và tin nhắn</v>
      </c>
      <c r="C31" s="29">
        <v>0.12</v>
      </c>
      <c r="D31" s="30">
        <f t="shared" si="0"/>
        <v>1200</v>
      </c>
      <c r="E31" s="30">
        <f>SUMIF(Mau_khung!$B$4:$B$61,A31,Mau_khung!$N$4:$N$61)</f>
        <v>300</v>
      </c>
      <c r="F31" s="14" t="str">
        <f t="shared" si="1"/>
        <v>Cần thêm khung hoặc diễn đạt lại</v>
      </c>
      <c r="G31" s="13">
        <f>COUNTIFS(Mau_cau!$C$4:$C$300,A31,Mau_cau!$B$4:$B$300,"&lt;&gt;M4")</f>
        <v>6</v>
      </c>
      <c r="H31" s="30">
        <f t="shared" si="2"/>
        <v>6000</v>
      </c>
      <c r="I31" s="31">
        <f t="shared" si="3"/>
        <v>5.833333333333333</v>
      </c>
    </row>
    <row r="32" spans="1:9" ht="26.4" x14ac:dyDescent="0.3">
      <c r="A32" s="14" t="s">
        <v>175</v>
      </c>
      <c r="B32" s="14" t="str">
        <f>INDEX(Case_study!$B$4:$B$15,MATCH(A32,Case_study!$A$4:$A$15,0))</f>
        <v>Trạng thái xe và bảo dưỡng</v>
      </c>
      <c r="C32" s="29">
        <v>0.05</v>
      </c>
      <c r="D32" s="30">
        <f t="shared" si="0"/>
        <v>500</v>
      </c>
      <c r="E32" s="30">
        <f>SUMIF(Mau_khung!$B$4:$B$61,A32,Mau_khung!$N$4:$N$61)</f>
        <v>48</v>
      </c>
      <c r="F32" s="14" t="str">
        <f t="shared" si="1"/>
        <v>Cần thêm khung hoặc diễn đạt lại</v>
      </c>
      <c r="G32" s="13">
        <f>COUNTIFS(Mau_cau!$C$4:$C$300,A32,Mau_cau!$B$4:$B$300,"&lt;&gt;M4")</f>
        <v>3</v>
      </c>
      <c r="H32" s="30">
        <f t="shared" si="2"/>
        <v>2500</v>
      </c>
      <c r="I32" s="31">
        <f t="shared" si="3"/>
        <v>2.4305555555555554</v>
      </c>
    </row>
    <row r="33" spans="1:9" ht="26.4" x14ac:dyDescent="0.3">
      <c r="A33" s="14" t="s">
        <v>184</v>
      </c>
      <c r="B33" s="14" t="str">
        <f>INDEX(Case_study!$B$4:$B$15,MATCH(A33,Case_study!$A$4:$A$15,0))</f>
        <v>Sạc xe điện và trạm nhiên liệu</v>
      </c>
      <c r="C33" s="29">
        <v>0.06</v>
      </c>
      <c r="D33" s="30">
        <f t="shared" si="0"/>
        <v>600</v>
      </c>
      <c r="E33" s="30">
        <f>SUMIF(Mau_khung!$B$4:$B$61,A33,Mau_khung!$N$4:$N$61)</f>
        <v>32</v>
      </c>
      <c r="F33" s="14" t="str">
        <f t="shared" si="1"/>
        <v>Cần thêm khung hoặc diễn đạt lại</v>
      </c>
      <c r="G33" s="13">
        <f>COUNTIFS(Mau_cau!$C$4:$C$300,A33,Mau_cau!$B$4:$B$300,"&lt;&gt;M4")</f>
        <v>4</v>
      </c>
      <c r="H33" s="30">
        <f t="shared" si="2"/>
        <v>3000</v>
      </c>
      <c r="I33" s="31">
        <f t="shared" si="3"/>
        <v>2.9166666666666665</v>
      </c>
    </row>
    <row r="34" spans="1:9" ht="26.4" x14ac:dyDescent="0.3">
      <c r="A34" s="14" t="s">
        <v>192</v>
      </c>
      <c r="B34" s="14" t="str">
        <f>INDEX(Case_study!$B$4:$B$15,MATCH(A34,Case_study!$A$4:$A$15,0))</f>
        <v>Giao thông và thời tiết</v>
      </c>
      <c r="C34" s="29">
        <v>7.0000000000000007E-2</v>
      </c>
      <c r="D34" s="30">
        <f t="shared" si="0"/>
        <v>700</v>
      </c>
      <c r="E34" s="30">
        <f>SUMIF(Mau_khung!$B$4:$B$61,A34,Mau_khung!$N$4:$N$61)</f>
        <v>252</v>
      </c>
      <c r="F34" s="14" t="str">
        <f t="shared" si="1"/>
        <v>Cần thêm khung hoặc diễn đạt lại</v>
      </c>
      <c r="G34" s="13">
        <f>COUNTIFS(Mau_cau!$C$4:$C$300,A34,Mau_cau!$B$4:$B$300,"&lt;&gt;M4")</f>
        <v>4</v>
      </c>
      <c r="H34" s="30">
        <f t="shared" si="2"/>
        <v>3500</v>
      </c>
      <c r="I34" s="31">
        <f t="shared" si="3"/>
        <v>3.4027777777777777</v>
      </c>
    </row>
    <row r="35" spans="1:9" ht="26.4" x14ac:dyDescent="0.3">
      <c r="A35" s="14" t="s">
        <v>200</v>
      </c>
      <c r="B35" s="14" t="str">
        <f>INDEX(Case_study!$B$4:$B$15,MATCH(A35,Case_study!$A$4:$A$15,0))</f>
        <v>Khẩn cấp và cứu hộ</v>
      </c>
      <c r="C35" s="29">
        <v>0.03</v>
      </c>
      <c r="D35" s="30">
        <f t="shared" si="0"/>
        <v>300</v>
      </c>
      <c r="E35" s="30">
        <f>SUMIF(Mau_khung!$B$4:$B$61,A35,Mau_khung!$N$4:$N$61)</f>
        <v>4</v>
      </c>
      <c r="F35" s="14" t="str">
        <f t="shared" si="1"/>
        <v>Cần thêm khung hoặc diễn đạt lại</v>
      </c>
      <c r="G35" s="13">
        <f>COUNTIFS(Mau_cau!$C$4:$C$300,A35,Mau_cau!$B$4:$B$300,"&lt;&gt;M4")</f>
        <v>4</v>
      </c>
      <c r="H35" s="30">
        <f t="shared" si="2"/>
        <v>1500</v>
      </c>
      <c r="I35" s="31">
        <f t="shared" si="3"/>
        <v>1.4583333333333333</v>
      </c>
    </row>
    <row r="36" spans="1:9" ht="26.4" x14ac:dyDescent="0.3">
      <c r="A36" s="14" t="s">
        <v>209</v>
      </c>
      <c r="B36" s="14" t="str">
        <f>INDEX(Case_study!$B$4:$B$15,MATCH(A36,Case_study!$A$4:$A$15,0))</f>
        <v>Hội thoại và gợi ý chủ động</v>
      </c>
      <c r="C36" s="29">
        <v>0.11</v>
      </c>
      <c r="D36" s="30">
        <f t="shared" si="0"/>
        <v>1100</v>
      </c>
      <c r="E36" s="30">
        <f>SUMIF(Mau_khung!$B$4:$B$61,A36,Mau_khung!$N$4:$N$61)</f>
        <v>2020</v>
      </c>
      <c r="F36" s="14" t="str">
        <f t="shared" si="1"/>
        <v>Đủ khung</v>
      </c>
      <c r="G36" s="13">
        <f>COUNTIFS(Mau_cau!$C$4:$C$300,A36,Mau_cau!$B$4:$B$300,"&lt;&gt;M4")</f>
        <v>5</v>
      </c>
      <c r="H36" s="30">
        <f t="shared" si="2"/>
        <v>5500</v>
      </c>
      <c r="I36" s="31">
        <f t="shared" si="3"/>
        <v>5.3472222222222223</v>
      </c>
    </row>
    <row r="37" spans="1:9" ht="26.4" x14ac:dyDescent="0.3">
      <c r="A37" s="14" t="s">
        <v>217</v>
      </c>
      <c r="B37" s="14" t="str">
        <f>INDEX(Case_study!$B$4:$B$15,MATCH(A37,Case_study!$A$4:$A$15,0))</f>
        <v>Hành khách và trẻ em</v>
      </c>
      <c r="C37" s="29">
        <v>0.03</v>
      </c>
      <c r="D37" s="30">
        <f t="shared" si="0"/>
        <v>300</v>
      </c>
      <c r="E37" s="30">
        <f>SUMIF(Mau_khung!$B$4:$B$61,A37,Mau_khung!$N$4:$N$61)</f>
        <v>0</v>
      </c>
      <c r="F37" s="14" t="str">
        <f t="shared" si="1"/>
        <v>Cần thêm khung hoặc diễn đạt lại</v>
      </c>
      <c r="G37" s="13">
        <f>COUNTIFS(Mau_cau!$C$4:$C$300,A37,Mau_cau!$B$4:$B$300,"&lt;&gt;M4")</f>
        <v>3</v>
      </c>
      <c r="H37" s="30">
        <f t="shared" si="2"/>
        <v>1500</v>
      </c>
      <c r="I37" s="31">
        <f t="shared" si="3"/>
        <v>1.4583333333333333</v>
      </c>
    </row>
    <row r="38" spans="1:9" ht="26.4" x14ac:dyDescent="0.3">
      <c r="A38" s="14" t="s">
        <v>226</v>
      </c>
      <c r="B38" s="14" t="str">
        <f>INDEX(Case_study!$B$4:$B$15,MATCH(A38,Case_study!$A$4:$A$15,0))</f>
        <v>Lỗi, làm rõ và ngoại tuyến</v>
      </c>
      <c r="C38" s="29">
        <v>0.09</v>
      </c>
      <c r="D38" s="30">
        <f t="shared" si="0"/>
        <v>900</v>
      </c>
      <c r="E38" s="30">
        <f>SUMIF(Mau_khung!$B$4:$B$61,A38,Mau_khung!$N$4:$N$61)</f>
        <v>140</v>
      </c>
      <c r="F38" s="14" t="str">
        <f t="shared" si="1"/>
        <v>Cần thêm khung hoặc diễn đạt lại</v>
      </c>
      <c r="G38" s="13">
        <f>COUNTIFS(Mau_cau!$C$4:$C$300,A38,Mau_cau!$B$4:$B$300,"&lt;&gt;M4")</f>
        <v>12</v>
      </c>
      <c r="H38" s="30">
        <f t="shared" si="2"/>
        <v>4500</v>
      </c>
      <c r="I38" s="31">
        <f t="shared" si="3"/>
        <v>4.375</v>
      </c>
    </row>
    <row r="39" spans="1:9" x14ac:dyDescent="0.3">
      <c r="A39" s="18" t="s">
        <v>692</v>
      </c>
      <c r="B39" s="18"/>
      <c r="C39" s="32">
        <f>SUM(C27:C38)</f>
        <v>1.0000000000000002</v>
      </c>
      <c r="D39" s="33">
        <f>SUM(D27:D38)</f>
        <v>10000</v>
      </c>
      <c r="E39" s="33">
        <f>SUM(E27:E38)</f>
        <v>5994</v>
      </c>
      <c r="F39" s="18" t="str">
        <f>IF(ROUND(C39,6)=1,"Tổng trọng số = 100%","Tổng trọng số khác 100%")</f>
        <v>Tổng trọng số = 100%</v>
      </c>
      <c r="G39" s="33">
        <f>SUM(G27:G38)</f>
        <v>65</v>
      </c>
      <c r="H39" s="33">
        <f>SUM(H27:H38)</f>
        <v>50000</v>
      </c>
      <c r="I39" s="34">
        <f>SUM(I27:I38)</f>
        <v>48.611111111111114</v>
      </c>
    </row>
    <row r="41" spans="1:9" x14ac:dyDescent="0.3">
      <c r="A41" s="7" t="s">
        <v>1225</v>
      </c>
    </row>
    <row r="42" spans="1:9" x14ac:dyDescent="0.3">
      <c r="A42" s="21" t="s">
        <v>1226</v>
      </c>
      <c r="B42" s="35">
        <f>I39</f>
        <v>48.611111111111114</v>
      </c>
    </row>
    <row r="43" spans="1:9" x14ac:dyDescent="0.3">
      <c r="A43" s="21" t="s">
        <v>1227</v>
      </c>
      <c r="B43" s="35">
        <f>B42*B14</f>
        <v>48.611111111111114</v>
      </c>
    </row>
    <row r="44" spans="1:9" x14ac:dyDescent="0.3">
      <c r="A44" s="21" t="s">
        <v>1228</v>
      </c>
      <c r="B44" s="35">
        <f>B42+B43</f>
        <v>97.222222222222229</v>
      </c>
    </row>
    <row r="45" spans="1:9" x14ac:dyDescent="0.3">
      <c r="A45" s="21" t="s">
        <v>1229</v>
      </c>
      <c r="B45" s="36">
        <f>B16</f>
        <v>100</v>
      </c>
    </row>
    <row r="46" spans="1:9" x14ac:dyDescent="0.3">
      <c r="A46" s="21" t="s">
        <v>1230</v>
      </c>
      <c r="B46" s="37">
        <f>IF(B45=0,"",B44/B45)</f>
        <v>0.97222222222222232</v>
      </c>
    </row>
    <row r="47" spans="1:9" x14ac:dyDescent="0.3">
      <c r="A47" s="21" t="s">
        <v>1231</v>
      </c>
      <c r="B47" s="38" t="str">
        <f>IF(B46="","",IF(ABS(B46-B15)&lt;=0.25*B15,"Gần mục tiêu","Lệch mục tiêu: chỉnh số lượt đọc hoặc giờ thật"))</f>
        <v>Gần mục tiêu</v>
      </c>
      <c r="C47" s="2" t="s">
        <v>1232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0"/>
  <sheetViews>
    <sheetView showGridLines="0" zoomScaleNormal="100" workbookViewId="0">
      <pane ySplit="3" topLeftCell="A7" activePane="bottomLeft" state="frozen"/>
      <selection pane="bottomLeft"/>
    </sheetView>
  </sheetViews>
  <sheetFormatPr defaultColWidth="8.6640625" defaultRowHeight="14.4" x14ac:dyDescent="0.3"/>
  <cols>
    <col min="1" max="1" width="6" customWidth="1"/>
    <col min="2" max="2" width="24" customWidth="1"/>
    <col min="3" max="3" width="36" customWidth="1"/>
    <col min="4" max="4" width="14" customWidth="1"/>
    <col min="5" max="6" width="10" customWidth="1"/>
    <col min="7" max="7" width="30" customWidth="1"/>
    <col min="8" max="12" width="10" customWidth="1"/>
    <col min="13" max="13" width="8" customWidth="1"/>
    <col min="14" max="14" width="30" customWidth="1"/>
    <col min="15" max="15" width="20" customWidth="1"/>
    <col min="16" max="17" width="12" customWidth="1"/>
    <col min="18" max="18" width="52" customWidth="1"/>
  </cols>
  <sheetData>
    <row r="1" spans="1:18" ht="17.399999999999999" x14ac:dyDescent="0.3">
      <c r="A1" s="1" t="s">
        <v>1233</v>
      </c>
    </row>
    <row r="2" spans="1:18" x14ac:dyDescent="0.3">
      <c r="A2" s="2" t="s">
        <v>1234</v>
      </c>
    </row>
    <row r="3" spans="1:18" ht="26.4" x14ac:dyDescent="0.3">
      <c r="A3" s="11" t="s">
        <v>63</v>
      </c>
      <c r="B3" s="11" t="s">
        <v>64</v>
      </c>
      <c r="C3" s="11" t="s">
        <v>120</v>
      </c>
      <c r="D3" s="11" t="s">
        <v>1235</v>
      </c>
      <c r="E3" s="11" t="s">
        <v>1236</v>
      </c>
      <c r="F3" s="11" t="s">
        <v>1237</v>
      </c>
      <c r="G3" s="11" t="s">
        <v>1238</v>
      </c>
      <c r="H3" s="11" t="s">
        <v>1239</v>
      </c>
      <c r="I3" s="11" t="s">
        <v>1240</v>
      </c>
      <c r="J3" s="11" t="s">
        <v>1241</v>
      </c>
      <c r="K3" s="11" t="s">
        <v>1242</v>
      </c>
      <c r="L3" s="11" t="s">
        <v>1243</v>
      </c>
      <c r="M3" s="11" t="s">
        <v>1244</v>
      </c>
      <c r="N3" s="11" t="s">
        <v>1245</v>
      </c>
      <c r="O3" s="12" t="s">
        <v>1246</v>
      </c>
      <c r="P3" s="12" t="s">
        <v>1247</v>
      </c>
      <c r="Q3" s="12" t="s">
        <v>1248</v>
      </c>
      <c r="R3" s="12" t="s">
        <v>1249</v>
      </c>
    </row>
    <row r="4" spans="1:18" ht="26.4" x14ac:dyDescent="0.3">
      <c r="A4" s="13" t="s">
        <v>1250</v>
      </c>
      <c r="B4" s="14" t="s">
        <v>1251</v>
      </c>
      <c r="C4" s="14" t="s">
        <v>1252</v>
      </c>
      <c r="D4" s="14" t="s">
        <v>1253</v>
      </c>
      <c r="E4" s="13">
        <v>0</v>
      </c>
      <c r="F4" s="13" t="s">
        <v>1254</v>
      </c>
      <c r="G4" s="14" t="s">
        <v>1255</v>
      </c>
      <c r="H4" s="13">
        <v>10</v>
      </c>
      <c r="I4" s="13">
        <v>0</v>
      </c>
      <c r="J4" s="14" t="s">
        <v>1256</v>
      </c>
      <c r="K4" s="14" t="s">
        <v>95</v>
      </c>
      <c r="L4" s="14" t="s">
        <v>95</v>
      </c>
      <c r="M4" s="13">
        <v>1</v>
      </c>
      <c r="N4" s="14" t="s">
        <v>1257</v>
      </c>
      <c r="O4" s="14" t="s">
        <v>1258</v>
      </c>
      <c r="P4" s="14" t="s">
        <v>78</v>
      </c>
      <c r="Q4" s="14" t="s">
        <v>78</v>
      </c>
      <c r="R4" s="14" t="s">
        <v>1259</v>
      </c>
    </row>
    <row r="5" spans="1:18" ht="52.8" x14ac:dyDescent="0.3">
      <c r="A5" s="13" t="s">
        <v>672</v>
      </c>
      <c r="B5" s="14" t="s">
        <v>1260</v>
      </c>
      <c r="C5" s="14" t="s">
        <v>1261</v>
      </c>
      <c r="D5" s="14" t="s">
        <v>1262</v>
      </c>
      <c r="E5" s="13">
        <v>40</v>
      </c>
      <c r="F5" s="13" t="s">
        <v>1263</v>
      </c>
      <c r="G5" s="14" t="s">
        <v>1264</v>
      </c>
      <c r="H5" s="13">
        <v>12</v>
      </c>
      <c r="I5" s="13">
        <v>2</v>
      </c>
      <c r="J5" s="14" t="s">
        <v>1256</v>
      </c>
      <c r="K5" s="14" t="s">
        <v>95</v>
      </c>
      <c r="L5" s="14" t="s">
        <v>95</v>
      </c>
      <c r="M5" s="13">
        <v>1</v>
      </c>
      <c r="N5" s="14" t="s">
        <v>1265</v>
      </c>
      <c r="O5" s="14" t="s">
        <v>1266</v>
      </c>
      <c r="P5" s="14" t="s">
        <v>78</v>
      </c>
      <c r="Q5" s="14" t="s">
        <v>78</v>
      </c>
      <c r="R5" s="14" t="s">
        <v>1267</v>
      </c>
    </row>
    <row r="6" spans="1:18" ht="26.4" x14ac:dyDescent="0.3">
      <c r="A6" s="13" t="s">
        <v>639</v>
      </c>
      <c r="B6" s="14" t="s">
        <v>1268</v>
      </c>
      <c r="C6" s="14" t="s">
        <v>1269</v>
      </c>
      <c r="D6" s="14" t="s">
        <v>1270</v>
      </c>
      <c r="E6" s="13">
        <v>110</v>
      </c>
      <c r="F6" s="13" t="s">
        <v>1271</v>
      </c>
      <c r="G6" s="14" t="s">
        <v>1272</v>
      </c>
      <c r="H6" s="13">
        <v>15</v>
      </c>
      <c r="I6" s="13">
        <v>3</v>
      </c>
      <c r="J6" s="14" t="s">
        <v>1256</v>
      </c>
      <c r="K6" s="14" t="s">
        <v>95</v>
      </c>
      <c r="L6" s="14" t="s">
        <v>95</v>
      </c>
      <c r="M6" s="13">
        <v>2</v>
      </c>
      <c r="N6" s="14" t="s">
        <v>1273</v>
      </c>
      <c r="O6" s="14" t="s">
        <v>1274</v>
      </c>
      <c r="P6" s="14" t="s">
        <v>78</v>
      </c>
      <c r="Q6" s="14" t="s">
        <v>78</v>
      </c>
      <c r="R6" s="14" t="s">
        <v>1275</v>
      </c>
    </row>
    <row r="7" spans="1:18" ht="26.4" x14ac:dyDescent="0.3">
      <c r="A7" s="13" t="s">
        <v>644</v>
      </c>
      <c r="B7" s="14" t="s">
        <v>1276</v>
      </c>
      <c r="C7" s="14" t="s">
        <v>1277</v>
      </c>
      <c r="D7" s="14" t="s">
        <v>1262</v>
      </c>
      <c r="E7" s="13">
        <v>60</v>
      </c>
      <c r="F7" s="13" t="s">
        <v>1278</v>
      </c>
      <c r="G7" s="14" t="s">
        <v>1279</v>
      </c>
      <c r="H7" s="13">
        <v>15</v>
      </c>
      <c r="I7" s="13">
        <v>4</v>
      </c>
      <c r="J7" s="14" t="s">
        <v>1256</v>
      </c>
      <c r="K7" s="14" t="s">
        <v>95</v>
      </c>
      <c r="L7" s="14" t="s">
        <v>1280</v>
      </c>
      <c r="M7" s="13">
        <v>1</v>
      </c>
      <c r="N7" s="14" t="s">
        <v>1281</v>
      </c>
      <c r="O7" s="14" t="s">
        <v>1282</v>
      </c>
      <c r="P7" s="14" t="s">
        <v>78</v>
      </c>
      <c r="Q7" s="14" t="s">
        <v>78</v>
      </c>
      <c r="R7" s="14" t="s">
        <v>1283</v>
      </c>
    </row>
    <row r="8" spans="1:18" ht="26.4" x14ac:dyDescent="0.3">
      <c r="A8" s="13" t="s">
        <v>655</v>
      </c>
      <c r="B8" s="14" t="s">
        <v>1284</v>
      </c>
      <c r="C8" s="14" t="s">
        <v>1285</v>
      </c>
      <c r="D8" s="14" t="s">
        <v>1262</v>
      </c>
      <c r="E8" s="13">
        <v>60</v>
      </c>
      <c r="F8" s="13" t="s">
        <v>1286</v>
      </c>
      <c r="G8" s="14" t="s">
        <v>1287</v>
      </c>
      <c r="H8" s="13">
        <v>15</v>
      </c>
      <c r="I8" s="13">
        <v>1</v>
      </c>
      <c r="J8" s="14" t="s">
        <v>1288</v>
      </c>
      <c r="K8" s="14" t="s">
        <v>95</v>
      </c>
      <c r="L8" s="14" t="s">
        <v>95</v>
      </c>
      <c r="M8" s="13">
        <v>1</v>
      </c>
      <c r="N8" s="14" t="s">
        <v>1289</v>
      </c>
      <c r="O8" s="14" t="s">
        <v>1290</v>
      </c>
      <c r="P8" s="14" t="s">
        <v>78</v>
      </c>
      <c r="Q8" s="14" t="s">
        <v>78</v>
      </c>
      <c r="R8" s="14" t="s">
        <v>1291</v>
      </c>
    </row>
    <row r="9" spans="1:18" ht="26.4" x14ac:dyDescent="0.3">
      <c r="A9" s="13" t="s">
        <v>660</v>
      </c>
      <c r="B9" s="14" t="s">
        <v>1292</v>
      </c>
      <c r="C9" s="14" t="s">
        <v>1293</v>
      </c>
      <c r="D9" s="14" t="s">
        <v>1262</v>
      </c>
      <c r="E9" s="13">
        <v>20</v>
      </c>
      <c r="F9" s="13" t="s">
        <v>1263</v>
      </c>
      <c r="G9" s="14" t="s">
        <v>278</v>
      </c>
      <c r="H9" s="13">
        <v>12</v>
      </c>
      <c r="I9" s="13">
        <v>5</v>
      </c>
      <c r="J9" s="14" t="s">
        <v>1256</v>
      </c>
      <c r="K9" s="14" t="s">
        <v>95</v>
      </c>
      <c r="L9" s="14" t="s">
        <v>95</v>
      </c>
      <c r="M9" s="13">
        <v>1</v>
      </c>
      <c r="N9" s="14" t="s">
        <v>1294</v>
      </c>
      <c r="O9" s="14" t="s">
        <v>150</v>
      </c>
      <c r="P9" s="14" t="s">
        <v>78</v>
      </c>
      <c r="Q9" s="14" t="s">
        <v>78</v>
      </c>
      <c r="R9" s="14" t="s">
        <v>1295</v>
      </c>
    </row>
    <row r="10" spans="1:18" ht="26.4" x14ac:dyDescent="0.3">
      <c r="A10" s="13" t="s">
        <v>649</v>
      </c>
      <c r="B10" s="14" t="s">
        <v>1296</v>
      </c>
      <c r="C10" s="14" t="s">
        <v>1297</v>
      </c>
      <c r="D10" s="14" t="s">
        <v>1262</v>
      </c>
      <c r="E10" s="13">
        <v>40</v>
      </c>
      <c r="F10" s="13" t="s">
        <v>1278</v>
      </c>
      <c r="G10" s="14" t="s">
        <v>1298</v>
      </c>
      <c r="H10" s="13">
        <v>15</v>
      </c>
      <c r="I10" s="13">
        <v>2</v>
      </c>
      <c r="J10" s="14" t="s">
        <v>1256</v>
      </c>
      <c r="K10" s="14" t="s">
        <v>1299</v>
      </c>
      <c r="L10" s="14" t="s">
        <v>95</v>
      </c>
      <c r="M10" s="13">
        <v>4</v>
      </c>
      <c r="N10" s="14" t="s">
        <v>1300</v>
      </c>
      <c r="O10" s="14" t="s">
        <v>1301</v>
      </c>
      <c r="P10" s="14" t="s">
        <v>78</v>
      </c>
      <c r="Q10" s="14" t="s">
        <v>78</v>
      </c>
      <c r="R10" s="14" t="s">
        <v>1302</v>
      </c>
    </row>
    <row r="11" spans="1:18" ht="26.4" x14ac:dyDescent="0.3">
      <c r="A11" s="13" t="s">
        <v>665</v>
      </c>
      <c r="B11" s="14" t="s">
        <v>1303</v>
      </c>
      <c r="C11" s="14" t="s">
        <v>1304</v>
      </c>
      <c r="D11" s="14" t="s">
        <v>1262</v>
      </c>
      <c r="E11" s="13">
        <v>20</v>
      </c>
      <c r="F11" s="13" t="s">
        <v>1305</v>
      </c>
      <c r="G11" s="14" t="s">
        <v>1306</v>
      </c>
      <c r="H11" s="13">
        <v>10</v>
      </c>
      <c r="I11" s="13">
        <v>2</v>
      </c>
      <c r="J11" s="14" t="s">
        <v>1256</v>
      </c>
      <c r="K11" s="14" t="s">
        <v>95</v>
      </c>
      <c r="L11" s="14" t="s">
        <v>95</v>
      </c>
      <c r="M11" s="13">
        <v>1</v>
      </c>
      <c r="N11" s="14" t="s">
        <v>1307</v>
      </c>
      <c r="O11" s="14" t="s">
        <v>1308</v>
      </c>
      <c r="P11" s="14" t="s">
        <v>78</v>
      </c>
      <c r="Q11" s="14" t="s">
        <v>78</v>
      </c>
      <c r="R11" s="14" t="s">
        <v>1309</v>
      </c>
    </row>
    <row r="12" spans="1:18" x14ac:dyDescent="0.3">
      <c r="A12" s="13" t="s">
        <v>1310</v>
      </c>
      <c r="B12" s="14" t="s">
        <v>1311</v>
      </c>
      <c r="C12" s="14" t="s">
        <v>1312</v>
      </c>
      <c r="D12" s="14" t="s">
        <v>1313</v>
      </c>
      <c r="E12" s="13">
        <v>40</v>
      </c>
      <c r="F12" s="13" t="s">
        <v>1278</v>
      </c>
      <c r="G12" s="14" t="s">
        <v>1314</v>
      </c>
      <c r="H12" s="13">
        <v>15</v>
      </c>
      <c r="I12" s="13">
        <v>2</v>
      </c>
      <c r="J12" s="14" t="s">
        <v>1256</v>
      </c>
      <c r="K12" s="14" t="s">
        <v>95</v>
      </c>
      <c r="L12" s="14" t="s">
        <v>95</v>
      </c>
      <c r="M12" s="13">
        <v>1</v>
      </c>
      <c r="N12" s="14" t="s">
        <v>1315</v>
      </c>
      <c r="O12" s="14"/>
      <c r="P12" s="14" t="s">
        <v>78</v>
      </c>
      <c r="Q12" s="14" t="s">
        <v>78</v>
      </c>
      <c r="R12" s="14" t="s">
        <v>1316</v>
      </c>
    </row>
    <row r="13" spans="1:18" ht="26.4" x14ac:dyDescent="0.3">
      <c r="A13" s="13" t="s">
        <v>1317</v>
      </c>
      <c r="B13" s="14" t="s">
        <v>1318</v>
      </c>
      <c r="C13" s="14" t="s">
        <v>1319</v>
      </c>
      <c r="D13" s="14" t="s">
        <v>1320</v>
      </c>
      <c r="E13" s="13">
        <v>50</v>
      </c>
      <c r="F13" s="13" t="s">
        <v>1321</v>
      </c>
      <c r="G13" s="14" t="s">
        <v>1322</v>
      </c>
      <c r="H13" s="13">
        <v>15</v>
      </c>
      <c r="I13" s="13">
        <v>2</v>
      </c>
      <c r="J13" s="14" t="s">
        <v>1256</v>
      </c>
      <c r="K13" s="14" t="s">
        <v>95</v>
      </c>
      <c r="L13" s="14" t="s">
        <v>95</v>
      </c>
      <c r="M13" s="13">
        <v>1</v>
      </c>
      <c r="N13" s="14" t="s">
        <v>1323</v>
      </c>
      <c r="O13" s="14" t="s">
        <v>1324</v>
      </c>
      <c r="P13" s="14" t="s">
        <v>78</v>
      </c>
      <c r="Q13" s="14" t="s">
        <v>78</v>
      </c>
      <c r="R13" s="14" t="s">
        <v>1325</v>
      </c>
    </row>
    <row r="14" spans="1:18" ht="26.4" x14ac:dyDescent="0.3">
      <c r="A14" s="13" t="s">
        <v>1326</v>
      </c>
      <c r="B14" s="14" t="s">
        <v>1327</v>
      </c>
      <c r="C14" s="14" t="s">
        <v>1328</v>
      </c>
      <c r="D14" s="14" t="s">
        <v>1262</v>
      </c>
      <c r="E14" s="13">
        <v>40</v>
      </c>
      <c r="F14" s="13" t="s">
        <v>1263</v>
      </c>
      <c r="G14" s="14" t="s">
        <v>1329</v>
      </c>
      <c r="H14" s="13">
        <v>12</v>
      </c>
      <c r="I14" s="13">
        <v>2</v>
      </c>
      <c r="J14" s="14" t="s">
        <v>1256</v>
      </c>
      <c r="K14" s="14" t="s">
        <v>95</v>
      </c>
      <c r="L14" s="14" t="s">
        <v>95</v>
      </c>
      <c r="M14" s="13">
        <v>1</v>
      </c>
      <c r="N14" s="14" t="s">
        <v>1330</v>
      </c>
      <c r="O14" s="14" t="s">
        <v>167</v>
      </c>
      <c r="P14" s="14" t="s">
        <v>78</v>
      </c>
      <c r="Q14" s="14" t="s">
        <v>178</v>
      </c>
      <c r="R14" s="14" t="s">
        <v>1331</v>
      </c>
    </row>
    <row r="15" spans="1:18" ht="26.4" x14ac:dyDescent="0.3">
      <c r="A15" s="13" t="s">
        <v>1332</v>
      </c>
      <c r="B15" s="14" t="s">
        <v>1333</v>
      </c>
      <c r="C15" s="14" t="s">
        <v>1334</v>
      </c>
      <c r="D15" s="14" t="s">
        <v>1335</v>
      </c>
      <c r="E15" s="13">
        <v>10</v>
      </c>
      <c r="F15" s="13" t="s">
        <v>1278</v>
      </c>
      <c r="G15" s="14" t="s">
        <v>1336</v>
      </c>
      <c r="H15" s="13">
        <v>15</v>
      </c>
      <c r="I15" s="13">
        <v>3</v>
      </c>
      <c r="J15" s="14" t="s">
        <v>1256</v>
      </c>
      <c r="K15" s="14" t="s">
        <v>95</v>
      </c>
      <c r="L15" s="14" t="s">
        <v>95</v>
      </c>
      <c r="M15" s="13">
        <v>1</v>
      </c>
      <c r="N15" s="14" t="s">
        <v>1337</v>
      </c>
      <c r="O15" s="14" t="s">
        <v>1338</v>
      </c>
      <c r="P15" s="14" t="s">
        <v>78</v>
      </c>
      <c r="Q15" s="14" t="s">
        <v>78</v>
      </c>
      <c r="R15" s="14" t="s">
        <v>1339</v>
      </c>
    </row>
    <row r="16" spans="1:18" ht="26.4" x14ac:dyDescent="0.3">
      <c r="A16" s="13" t="s">
        <v>1340</v>
      </c>
      <c r="B16" s="14" t="s">
        <v>1341</v>
      </c>
      <c r="C16" s="14" t="s">
        <v>1342</v>
      </c>
      <c r="D16" s="14" t="s">
        <v>1320</v>
      </c>
      <c r="E16" s="13">
        <v>50</v>
      </c>
      <c r="F16" s="13" t="s">
        <v>1343</v>
      </c>
      <c r="G16" s="14" t="s">
        <v>1344</v>
      </c>
      <c r="H16" s="13">
        <v>12</v>
      </c>
      <c r="I16" s="13">
        <v>2</v>
      </c>
      <c r="J16" s="14" t="s">
        <v>1256</v>
      </c>
      <c r="K16" s="14" t="s">
        <v>95</v>
      </c>
      <c r="L16" s="14" t="s">
        <v>95</v>
      </c>
      <c r="M16" s="13">
        <v>1</v>
      </c>
      <c r="N16" s="14" t="s">
        <v>1345</v>
      </c>
      <c r="O16" s="14" t="s">
        <v>132</v>
      </c>
      <c r="P16" s="14" t="s">
        <v>78</v>
      </c>
      <c r="Q16" s="14" t="s">
        <v>78</v>
      </c>
      <c r="R16" s="14" t="s">
        <v>1346</v>
      </c>
    </row>
    <row r="17" spans="1:18" ht="26.4" x14ac:dyDescent="0.3">
      <c r="A17" s="13" t="s">
        <v>1347</v>
      </c>
      <c r="B17" s="14" t="s">
        <v>1348</v>
      </c>
      <c r="C17" s="14" t="s">
        <v>1349</v>
      </c>
      <c r="D17" s="14" t="s">
        <v>1262</v>
      </c>
      <c r="E17" s="13">
        <v>40</v>
      </c>
      <c r="F17" s="13" t="s">
        <v>1350</v>
      </c>
      <c r="G17" s="14" t="s">
        <v>1351</v>
      </c>
      <c r="H17" s="13">
        <v>12</v>
      </c>
      <c r="I17" s="13">
        <v>2</v>
      </c>
      <c r="J17" s="14" t="s">
        <v>1256</v>
      </c>
      <c r="K17" s="14" t="s">
        <v>95</v>
      </c>
      <c r="L17" s="14" t="s">
        <v>95</v>
      </c>
      <c r="M17" s="13">
        <v>1</v>
      </c>
      <c r="N17" s="14" t="s">
        <v>1352</v>
      </c>
      <c r="O17" s="14" t="s">
        <v>140</v>
      </c>
      <c r="P17" s="14" t="s">
        <v>78</v>
      </c>
      <c r="Q17" s="14" t="s">
        <v>78</v>
      </c>
      <c r="R17" s="14" t="s">
        <v>1353</v>
      </c>
    </row>
    <row r="18" spans="1:18" ht="26.4" x14ac:dyDescent="0.3">
      <c r="A18" s="13" t="s">
        <v>1354</v>
      </c>
      <c r="B18" s="14" t="s">
        <v>1355</v>
      </c>
      <c r="C18" s="14" t="s">
        <v>1356</v>
      </c>
      <c r="D18" s="14" t="s">
        <v>1262</v>
      </c>
      <c r="E18" s="13">
        <v>40</v>
      </c>
      <c r="F18" s="13" t="s">
        <v>1263</v>
      </c>
      <c r="G18" s="14" t="s">
        <v>1357</v>
      </c>
      <c r="H18" s="13">
        <v>12</v>
      </c>
      <c r="I18" s="13">
        <v>2</v>
      </c>
      <c r="J18" s="14" t="s">
        <v>1256</v>
      </c>
      <c r="K18" s="14" t="s">
        <v>95</v>
      </c>
      <c r="L18" s="14" t="s">
        <v>95</v>
      </c>
      <c r="M18" s="13">
        <v>1</v>
      </c>
      <c r="N18" s="14" t="s">
        <v>1358</v>
      </c>
      <c r="O18" s="14" t="s">
        <v>167</v>
      </c>
      <c r="P18" s="14" t="s">
        <v>78</v>
      </c>
      <c r="Q18" s="14" t="s">
        <v>178</v>
      </c>
      <c r="R18" s="14" t="s">
        <v>1359</v>
      </c>
    </row>
    <row r="19" spans="1:18" ht="26.4" x14ac:dyDescent="0.3">
      <c r="A19" s="13" t="s">
        <v>1360</v>
      </c>
      <c r="B19" s="14" t="s">
        <v>1361</v>
      </c>
      <c r="C19" s="14" t="s">
        <v>1362</v>
      </c>
      <c r="D19" s="14" t="s">
        <v>1270</v>
      </c>
      <c r="E19" s="13">
        <v>100</v>
      </c>
      <c r="F19" s="13" t="s">
        <v>1271</v>
      </c>
      <c r="G19" s="14" t="s">
        <v>1363</v>
      </c>
      <c r="H19" s="13">
        <v>15</v>
      </c>
      <c r="I19" s="13">
        <v>3</v>
      </c>
      <c r="J19" s="14" t="s">
        <v>1256</v>
      </c>
      <c r="K19" s="14" t="s">
        <v>95</v>
      </c>
      <c r="L19" s="14" t="s">
        <v>95</v>
      </c>
      <c r="M19" s="13">
        <v>1</v>
      </c>
      <c r="N19" s="14" t="s">
        <v>1364</v>
      </c>
      <c r="O19" s="14" t="s">
        <v>226</v>
      </c>
      <c r="P19" s="14" t="s">
        <v>1365</v>
      </c>
      <c r="Q19" s="14" t="s">
        <v>95</v>
      </c>
      <c r="R19" s="14" t="s">
        <v>1366</v>
      </c>
    </row>
    <row r="20" spans="1:18" ht="26.4" x14ac:dyDescent="0.3">
      <c r="A20" s="13" t="s">
        <v>1367</v>
      </c>
      <c r="B20" s="14" t="s">
        <v>1368</v>
      </c>
      <c r="C20" s="14" t="s">
        <v>1369</v>
      </c>
      <c r="D20" s="14" t="s">
        <v>1262</v>
      </c>
      <c r="E20" s="13">
        <v>40</v>
      </c>
      <c r="F20" s="13" t="s">
        <v>1278</v>
      </c>
      <c r="G20" s="14" t="s">
        <v>1370</v>
      </c>
      <c r="H20" s="13">
        <v>15</v>
      </c>
      <c r="I20" s="13">
        <v>2</v>
      </c>
      <c r="J20" s="14" t="s">
        <v>1256</v>
      </c>
      <c r="K20" s="14" t="s">
        <v>1299</v>
      </c>
      <c r="L20" s="14" t="s">
        <v>95</v>
      </c>
      <c r="M20" s="13">
        <v>2</v>
      </c>
      <c r="N20" s="14" t="s">
        <v>1371</v>
      </c>
      <c r="O20" s="14" t="s">
        <v>1372</v>
      </c>
      <c r="P20" s="14" t="s">
        <v>1365</v>
      </c>
      <c r="Q20" s="14" t="s">
        <v>95</v>
      </c>
      <c r="R20" s="14" t="s">
        <v>1373</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2"/>
  <sheetViews>
    <sheetView showGridLines="0" zoomScaleNormal="100" workbookViewId="0">
      <pane ySplit="3" topLeftCell="A18" activePane="bottomLeft" state="frozen"/>
      <selection pane="bottomLeft" activeCell="B12" sqref="B12"/>
    </sheetView>
  </sheetViews>
  <sheetFormatPr defaultColWidth="8.6640625" defaultRowHeight="14.4" x14ac:dyDescent="0.3"/>
  <cols>
    <col min="1" max="1" width="6" customWidth="1"/>
    <col min="2" max="2" width="22" customWidth="1"/>
    <col min="3" max="3" width="52" customWidth="1"/>
    <col min="4" max="5" width="11" customWidth="1"/>
    <col min="6" max="6" width="10" customWidth="1"/>
    <col min="7" max="8" width="11" customWidth="1"/>
    <col min="9" max="9" width="80" customWidth="1"/>
  </cols>
  <sheetData>
    <row r="1" spans="1:9" ht="17.399999999999999" x14ac:dyDescent="0.3">
      <c r="A1" s="1" t="s">
        <v>1374</v>
      </c>
    </row>
    <row r="2" spans="1:9" x14ac:dyDescent="0.3">
      <c r="A2" s="2" t="s">
        <v>1375</v>
      </c>
    </row>
    <row r="3" spans="1:9" ht="26.4" x14ac:dyDescent="0.3">
      <c r="A3" s="11" t="s">
        <v>63</v>
      </c>
      <c r="B3" s="11" t="s">
        <v>1376</v>
      </c>
      <c r="C3" s="11" t="s">
        <v>1377</v>
      </c>
      <c r="D3" s="11" t="s">
        <v>246</v>
      </c>
      <c r="E3" s="11" t="s">
        <v>1378</v>
      </c>
      <c r="F3" s="11" t="s">
        <v>1379</v>
      </c>
      <c r="G3" s="11" t="s">
        <v>1380</v>
      </c>
      <c r="H3" s="12" t="s">
        <v>276</v>
      </c>
      <c r="I3" s="11" t="s">
        <v>1381</v>
      </c>
    </row>
    <row r="4" spans="1:9" ht="26.4" x14ac:dyDescent="0.3">
      <c r="A4" s="13" t="s">
        <v>1382</v>
      </c>
      <c r="B4" s="14" t="s">
        <v>1383</v>
      </c>
      <c r="C4" s="14" t="s">
        <v>1384</v>
      </c>
      <c r="D4" s="39">
        <v>7</v>
      </c>
      <c r="E4" s="39">
        <v>8</v>
      </c>
      <c r="F4" s="39">
        <v>6</v>
      </c>
      <c r="G4" s="39">
        <v>5</v>
      </c>
      <c r="H4" s="13">
        <f t="shared" ref="H4:H20" si="0">ROUND(AVERAGE(D4:G4),1)</f>
        <v>6.5</v>
      </c>
      <c r="I4" s="14" t="s">
        <v>1385</v>
      </c>
    </row>
    <row r="5" spans="1:9" ht="26.4" x14ac:dyDescent="0.3">
      <c r="A5" s="13" t="s">
        <v>1386</v>
      </c>
      <c r="B5" s="14" t="s">
        <v>1383</v>
      </c>
      <c r="C5" s="14" t="s">
        <v>1387</v>
      </c>
      <c r="D5" s="39">
        <v>5</v>
      </c>
      <c r="E5" s="39">
        <v>5</v>
      </c>
      <c r="F5" s="39">
        <v>9</v>
      </c>
      <c r="G5" s="39">
        <v>8</v>
      </c>
      <c r="H5" s="13">
        <f t="shared" si="0"/>
        <v>6.8</v>
      </c>
      <c r="I5" s="14" t="s">
        <v>1388</v>
      </c>
    </row>
    <row r="6" spans="1:9" ht="26.4" x14ac:dyDescent="0.3">
      <c r="A6" s="13" t="s">
        <v>1389</v>
      </c>
      <c r="B6" s="14" t="s">
        <v>1383</v>
      </c>
      <c r="C6" s="14" t="s">
        <v>1390</v>
      </c>
      <c r="D6" s="39">
        <v>6</v>
      </c>
      <c r="E6" s="39">
        <v>7</v>
      </c>
      <c r="F6" s="39">
        <v>5</v>
      </c>
      <c r="G6" s="39">
        <v>6</v>
      </c>
      <c r="H6" s="13">
        <f t="shared" si="0"/>
        <v>6</v>
      </c>
      <c r="I6" s="14" t="s">
        <v>1391</v>
      </c>
    </row>
    <row r="7" spans="1:9" ht="26.4" x14ac:dyDescent="0.3">
      <c r="A7" s="13" t="s">
        <v>1392</v>
      </c>
      <c r="B7" s="14" t="s">
        <v>1383</v>
      </c>
      <c r="C7" s="14" t="s">
        <v>1393</v>
      </c>
      <c r="D7" s="39">
        <v>4</v>
      </c>
      <c r="E7" s="39">
        <v>4</v>
      </c>
      <c r="F7" s="39">
        <v>3</v>
      </c>
      <c r="G7" s="39">
        <v>4</v>
      </c>
      <c r="H7" s="13">
        <f t="shared" si="0"/>
        <v>3.8</v>
      </c>
      <c r="I7" s="14" t="s">
        <v>1394</v>
      </c>
    </row>
    <row r="8" spans="1:9" ht="26.4" x14ac:dyDescent="0.3">
      <c r="A8" s="13" t="s">
        <v>1395</v>
      </c>
      <c r="B8" s="14" t="s">
        <v>1396</v>
      </c>
      <c r="C8" s="14" t="s">
        <v>1397</v>
      </c>
      <c r="D8" s="39">
        <v>5</v>
      </c>
      <c r="E8" s="39">
        <v>6</v>
      </c>
      <c r="F8" s="39">
        <v>9</v>
      </c>
      <c r="G8" s="39">
        <v>8</v>
      </c>
      <c r="H8" s="13">
        <f t="shared" si="0"/>
        <v>7</v>
      </c>
      <c r="I8" s="14" t="s">
        <v>1398</v>
      </c>
    </row>
    <row r="9" spans="1:9" ht="26.4" x14ac:dyDescent="0.3">
      <c r="A9" s="13" t="s">
        <v>1399</v>
      </c>
      <c r="B9" s="14" t="s">
        <v>1396</v>
      </c>
      <c r="C9" s="14" t="s">
        <v>1400</v>
      </c>
      <c r="D9" s="39">
        <v>7</v>
      </c>
      <c r="E9" s="39">
        <v>8</v>
      </c>
      <c r="F9" s="39">
        <v>9</v>
      </c>
      <c r="G9" s="39">
        <v>7</v>
      </c>
      <c r="H9" s="13">
        <f t="shared" si="0"/>
        <v>7.8</v>
      </c>
      <c r="I9" s="14" t="s">
        <v>1401</v>
      </c>
    </row>
    <row r="10" spans="1:9" ht="26.4" x14ac:dyDescent="0.3">
      <c r="A10" s="13" t="s">
        <v>1402</v>
      </c>
      <c r="B10" s="14" t="s">
        <v>1403</v>
      </c>
      <c r="C10" s="14" t="s">
        <v>1404</v>
      </c>
      <c r="D10" s="39">
        <v>5</v>
      </c>
      <c r="E10" s="39">
        <v>5</v>
      </c>
      <c r="F10" s="39">
        <v>9</v>
      </c>
      <c r="G10" s="39">
        <v>8</v>
      </c>
      <c r="H10" s="13">
        <f t="shared" si="0"/>
        <v>6.8</v>
      </c>
      <c r="I10" s="14" t="s">
        <v>1405</v>
      </c>
    </row>
    <row r="11" spans="1:9" ht="26.4" x14ac:dyDescent="0.3">
      <c r="A11" s="13" t="s">
        <v>1406</v>
      </c>
      <c r="B11" s="14" t="s">
        <v>1407</v>
      </c>
      <c r="C11" s="14" t="s">
        <v>1408</v>
      </c>
      <c r="D11" s="39">
        <v>8</v>
      </c>
      <c r="E11" s="39">
        <v>9</v>
      </c>
      <c r="F11" s="39">
        <v>8</v>
      </c>
      <c r="G11" s="39">
        <v>6</v>
      </c>
      <c r="H11" s="13">
        <f t="shared" si="0"/>
        <v>7.8</v>
      </c>
      <c r="I11" s="14" t="s">
        <v>1409</v>
      </c>
    </row>
    <row r="12" spans="1:9" x14ac:dyDescent="0.3">
      <c r="A12" s="13" t="s">
        <v>1410</v>
      </c>
      <c r="B12" s="14" t="s">
        <v>1411</v>
      </c>
      <c r="C12" s="14" t="s">
        <v>1412</v>
      </c>
      <c r="D12" s="39">
        <v>8</v>
      </c>
      <c r="E12" s="39">
        <v>7</v>
      </c>
      <c r="F12" s="39">
        <v>10</v>
      </c>
      <c r="G12" s="39">
        <v>9</v>
      </c>
      <c r="H12" s="13">
        <f t="shared" si="0"/>
        <v>8.5</v>
      </c>
      <c r="I12" s="14" t="s">
        <v>1413</v>
      </c>
    </row>
    <row r="13" spans="1:9" x14ac:dyDescent="0.3">
      <c r="A13" s="13" t="s">
        <v>1414</v>
      </c>
      <c r="B13" s="14" t="s">
        <v>1415</v>
      </c>
      <c r="C13" s="14" t="s">
        <v>1416</v>
      </c>
      <c r="D13" s="39">
        <v>3</v>
      </c>
      <c r="E13" s="39">
        <v>4</v>
      </c>
      <c r="F13" s="39">
        <v>3</v>
      </c>
      <c r="G13" s="39">
        <v>4</v>
      </c>
      <c r="H13" s="13">
        <f t="shared" si="0"/>
        <v>3.5</v>
      </c>
      <c r="I13" s="14" t="s">
        <v>1417</v>
      </c>
    </row>
    <row r="14" spans="1:9" ht="26.4" x14ac:dyDescent="0.3">
      <c r="A14" s="13" t="s">
        <v>462</v>
      </c>
      <c r="B14" s="14" t="s">
        <v>1418</v>
      </c>
      <c r="C14" s="14" t="s">
        <v>1419</v>
      </c>
      <c r="D14" s="39">
        <v>6</v>
      </c>
      <c r="E14" s="39">
        <v>6</v>
      </c>
      <c r="F14" s="39">
        <v>9</v>
      </c>
      <c r="G14" s="39">
        <v>6</v>
      </c>
      <c r="H14" s="13">
        <f t="shared" si="0"/>
        <v>6.8</v>
      </c>
      <c r="I14" s="14" t="s">
        <v>1420</v>
      </c>
    </row>
    <row r="15" spans="1:9" ht="26.4" x14ac:dyDescent="0.3">
      <c r="A15" s="13" t="s">
        <v>468</v>
      </c>
      <c r="B15" s="14" t="s">
        <v>1421</v>
      </c>
      <c r="C15" s="14" t="s">
        <v>1422</v>
      </c>
      <c r="D15" s="39">
        <v>6</v>
      </c>
      <c r="E15" s="39">
        <v>7</v>
      </c>
      <c r="F15" s="39">
        <v>7</v>
      </c>
      <c r="G15" s="39">
        <v>7</v>
      </c>
      <c r="H15" s="13">
        <f t="shared" si="0"/>
        <v>6.8</v>
      </c>
      <c r="I15" s="14" t="s">
        <v>1423</v>
      </c>
    </row>
    <row r="16" spans="1:9" ht="26.4" x14ac:dyDescent="0.3">
      <c r="A16" s="13" t="s">
        <v>475</v>
      </c>
      <c r="B16" s="14" t="s">
        <v>1424</v>
      </c>
      <c r="C16" s="14" t="s">
        <v>1425</v>
      </c>
      <c r="D16" s="39">
        <v>7</v>
      </c>
      <c r="E16" s="39">
        <v>7</v>
      </c>
      <c r="F16" s="39">
        <v>8</v>
      </c>
      <c r="G16" s="39">
        <v>6</v>
      </c>
      <c r="H16" s="13">
        <f t="shared" si="0"/>
        <v>7</v>
      </c>
      <c r="I16" s="14" t="s">
        <v>1426</v>
      </c>
    </row>
    <row r="17" spans="1:9" ht="26.4" x14ac:dyDescent="0.3">
      <c r="A17" s="13" t="s">
        <v>1427</v>
      </c>
      <c r="B17" s="14" t="s">
        <v>1428</v>
      </c>
      <c r="C17" s="14" t="s">
        <v>1429</v>
      </c>
      <c r="D17" s="39">
        <v>6</v>
      </c>
      <c r="E17" s="39">
        <v>8</v>
      </c>
      <c r="F17" s="39">
        <v>8</v>
      </c>
      <c r="G17" s="39">
        <v>5</v>
      </c>
      <c r="H17" s="13">
        <f t="shared" si="0"/>
        <v>6.8</v>
      </c>
      <c r="I17" s="14" t="s">
        <v>1430</v>
      </c>
    </row>
    <row r="18" spans="1:9" x14ac:dyDescent="0.3">
      <c r="A18" s="13" t="s">
        <v>1431</v>
      </c>
      <c r="B18" s="14" t="s">
        <v>1428</v>
      </c>
      <c r="C18" s="14" t="s">
        <v>1432</v>
      </c>
      <c r="D18" s="39">
        <v>7</v>
      </c>
      <c r="E18" s="39">
        <v>8</v>
      </c>
      <c r="F18" s="39">
        <v>8</v>
      </c>
      <c r="G18" s="39">
        <v>5</v>
      </c>
      <c r="H18" s="13">
        <f t="shared" si="0"/>
        <v>7</v>
      </c>
      <c r="I18" s="14" t="s">
        <v>1433</v>
      </c>
    </row>
    <row r="19" spans="1:9" ht="26.4" x14ac:dyDescent="0.3">
      <c r="A19" s="13" t="s">
        <v>1434</v>
      </c>
      <c r="B19" s="14" t="s">
        <v>1428</v>
      </c>
      <c r="C19" s="14" t="s">
        <v>1435</v>
      </c>
      <c r="D19" s="39">
        <v>5</v>
      </c>
      <c r="E19" s="39">
        <v>8</v>
      </c>
      <c r="F19" s="39">
        <v>8</v>
      </c>
      <c r="G19" s="39">
        <v>8</v>
      </c>
      <c r="H19" s="13">
        <f t="shared" si="0"/>
        <v>7.3</v>
      </c>
      <c r="I19" s="14" t="s">
        <v>1436</v>
      </c>
    </row>
    <row r="20" spans="1:9" ht="26.4" x14ac:dyDescent="0.3">
      <c r="A20" s="13" t="s">
        <v>1437</v>
      </c>
      <c r="B20" s="14" t="s">
        <v>1428</v>
      </c>
      <c r="C20" s="14" t="s">
        <v>1438</v>
      </c>
      <c r="D20" s="39">
        <v>7</v>
      </c>
      <c r="E20" s="39">
        <v>7</v>
      </c>
      <c r="F20" s="39">
        <v>8</v>
      </c>
      <c r="G20" s="39">
        <v>6</v>
      </c>
      <c r="H20" s="13">
        <f t="shared" si="0"/>
        <v>7</v>
      </c>
      <c r="I20" s="14" t="s">
        <v>1439</v>
      </c>
    </row>
    <row r="22" spans="1:9" x14ac:dyDescent="0.3">
      <c r="A22" s="7" t="s">
        <v>1440</v>
      </c>
    </row>
    <row r="23" spans="1:9" ht="39.6" x14ac:dyDescent="0.3">
      <c r="A23" s="10" t="s">
        <v>455</v>
      </c>
      <c r="B23" s="10" t="s">
        <v>1441</v>
      </c>
      <c r="C23" s="6" t="s">
        <v>1442</v>
      </c>
    </row>
    <row r="26" spans="1:9" x14ac:dyDescent="0.3">
      <c r="A26" s="7" t="s">
        <v>1443</v>
      </c>
    </row>
    <row r="27" spans="1:9" ht="39.6" x14ac:dyDescent="0.3">
      <c r="A27" s="11" t="s">
        <v>1211</v>
      </c>
      <c r="D27" s="11" t="s">
        <v>1444</v>
      </c>
      <c r="E27" s="11" t="s">
        <v>1445</v>
      </c>
      <c r="F27" s="12" t="s">
        <v>1446</v>
      </c>
      <c r="I27" s="11" t="s">
        <v>1447</v>
      </c>
    </row>
    <row r="28" spans="1:9" x14ac:dyDescent="0.3">
      <c r="A28" s="14" t="s">
        <v>889</v>
      </c>
      <c r="D28" s="39">
        <v>6</v>
      </c>
      <c r="E28" s="39">
        <v>7.5</v>
      </c>
      <c r="F28" s="13">
        <f>E28-D28</f>
        <v>1.5</v>
      </c>
      <c r="I28" s="14" t="s">
        <v>1448</v>
      </c>
    </row>
    <row r="29" spans="1:9" x14ac:dyDescent="0.3">
      <c r="A29" s="14" t="s">
        <v>895</v>
      </c>
      <c r="D29" s="39">
        <v>5</v>
      </c>
      <c r="E29" s="39">
        <v>7</v>
      </c>
      <c r="F29" s="13">
        <f>E29-D29</f>
        <v>2</v>
      </c>
      <c r="I29" s="14" t="s">
        <v>1449</v>
      </c>
    </row>
    <row r="30" spans="1:9" x14ac:dyDescent="0.3">
      <c r="A30" s="14" t="s">
        <v>916</v>
      </c>
      <c r="D30" s="39">
        <v>3</v>
      </c>
      <c r="E30" s="39">
        <v>5.5</v>
      </c>
      <c r="F30" s="13">
        <f>E30-D30</f>
        <v>2.5</v>
      </c>
      <c r="I30" s="14" t="s">
        <v>1450</v>
      </c>
    </row>
    <row r="31" spans="1:9" x14ac:dyDescent="0.3">
      <c r="A31" s="7" t="s">
        <v>1451</v>
      </c>
      <c r="D31" s="28">
        <f>ROUND(AVERAGE(D28:D30),1)</f>
        <v>4.7</v>
      </c>
      <c r="E31" s="28">
        <f>ROUND(AVERAGE(E28:E30),1)</f>
        <v>6.7</v>
      </c>
      <c r="F31" s="28">
        <f>ROUND(AVERAGE(F28:F30),1)</f>
        <v>2</v>
      </c>
    </row>
    <row r="32" spans="1:9" x14ac:dyDescent="0.3">
      <c r="A32" s="2" t="s">
        <v>1452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
  <sheetViews>
    <sheetView showGridLines="0" zoomScaleNormal="100" workbookViewId="0">
      <pane ySplit="3" topLeftCell="A4" activePane="bottomLeft" state="frozen"/>
      <selection pane="bottomLeft"/>
    </sheetView>
  </sheetViews>
  <sheetFormatPr defaultColWidth="8.6640625" defaultRowHeight="14.4" x14ac:dyDescent="0.3"/>
  <cols>
    <col min="1" max="1" width="11" customWidth="1"/>
    <col min="2" max="2" width="24" customWidth="1"/>
    <col min="3" max="3" width="14" customWidth="1"/>
    <col min="4" max="4" width="10" customWidth="1"/>
    <col min="5" max="5" width="28" customWidth="1"/>
    <col min="6" max="6" width="8" customWidth="1"/>
    <col min="7" max="7" width="20" customWidth="1"/>
    <col min="8" max="8" width="12" customWidth="1"/>
    <col min="9" max="10" width="18" customWidth="1"/>
    <col min="11" max="12" width="12" customWidth="1"/>
    <col min="13" max="14" width="14" customWidth="1"/>
    <col min="15" max="15" width="12" customWidth="1"/>
    <col min="16" max="16" width="14" customWidth="1"/>
    <col min="17" max="17" width="12" customWidth="1"/>
    <col min="18" max="18" width="34" customWidth="1"/>
  </cols>
  <sheetData>
    <row r="1" spans="1:18" ht="17.399999999999999" x14ac:dyDescent="0.3">
      <c r="A1" s="1" t="s">
        <v>1453</v>
      </c>
    </row>
    <row r="2" spans="1:18" x14ac:dyDescent="0.3">
      <c r="A2" s="2" t="s">
        <v>1454</v>
      </c>
    </row>
    <row r="3" spans="1:18" ht="39.6" x14ac:dyDescent="0.3">
      <c r="A3" s="11" t="s">
        <v>1455</v>
      </c>
      <c r="B3" s="11" t="s">
        <v>1456</v>
      </c>
      <c r="C3" s="11" t="s">
        <v>1457</v>
      </c>
      <c r="D3" s="11" t="s">
        <v>1458</v>
      </c>
      <c r="E3" s="11" t="s">
        <v>1459</v>
      </c>
      <c r="F3" s="11" t="s">
        <v>1460</v>
      </c>
      <c r="G3" s="11" t="s">
        <v>463</v>
      </c>
      <c r="H3" s="11" t="s">
        <v>1461</v>
      </c>
      <c r="I3" s="11" t="s">
        <v>1462</v>
      </c>
      <c r="J3" s="11" t="s">
        <v>488</v>
      </c>
      <c r="K3" s="11" t="s">
        <v>1463</v>
      </c>
      <c r="L3" s="11" t="s">
        <v>1464</v>
      </c>
      <c r="M3" s="11" t="s">
        <v>1465</v>
      </c>
      <c r="N3" s="11" t="s">
        <v>1466</v>
      </c>
      <c r="O3" s="11" t="s">
        <v>1467</v>
      </c>
      <c r="P3" s="11" t="s">
        <v>1468</v>
      </c>
      <c r="Q3" s="11" t="s">
        <v>1469</v>
      </c>
      <c r="R3" s="11" t="s">
        <v>72</v>
      </c>
    </row>
    <row r="4" spans="1:18" x14ac:dyDescent="0.3">
      <c r="A4" s="19" t="s">
        <v>1470</v>
      </c>
      <c r="B4" s="40" t="s">
        <v>1471</v>
      </c>
      <c r="C4" s="40" t="s">
        <v>1472</v>
      </c>
      <c r="D4" s="19" t="s">
        <v>889</v>
      </c>
      <c r="E4" s="40" t="s">
        <v>1473</v>
      </c>
      <c r="F4" s="19" t="s">
        <v>1214</v>
      </c>
      <c r="G4" s="40" t="s">
        <v>1474</v>
      </c>
      <c r="H4" s="19">
        <v>210</v>
      </c>
      <c r="I4" s="40"/>
      <c r="J4" s="40"/>
      <c r="K4" s="19">
        <v>8</v>
      </c>
      <c r="L4" s="19">
        <v>3</v>
      </c>
      <c r="M4" s="19">
        <v>12</v>
      </c>
      <c r="N4" s="19">
        <v>25</v>
      </c>
      <c r="O4" s="19" t="s">
        <v>1475</v>
      </c>
      <c r="P4" s="19" t="s">
        <v>1475</v>
      </c>
      <c r="Q4" s="19" t="s">
        <v>1476</v>
      </c>
      <c r="R4" s="40" t="s">
        <v>1477</v>
      </c>
    </row>
    <row r="5" spans="1:18" x14ac:dyDescent="0.3">
      <c r="A5" s="19" t="s">
        <v>1478</v>
      </c>
      <c r="B5" s="40" t="s">
        <v>1471</v>
      </c>
      <c r="C5" s="40" t="s">
        <v>1472</v>
      </c>
      <c r="D5" s="19" t="s">
        <v>916</v>
      </c>
      <c r="E5" s="40" t="s">
        <v>1479</v>
      </c>
      <c r="F5" s="19" t="s">
        <v>895</v>
      </c>
      <c r="G5" s="40" t="s">
        <v>1480</v>
      </c>
      <c r="H5" s="19">
        <v>120</v>
      </c>
      <c r="I5" s="40"/>
      <c r="J5" s="40"/>
      <c r="K5" s="19">
        <v>5</v>
      </c>
      <c r="L5" s="19">
        <v>3</v>
      </c>
      <c r="M5" s="19">
        <v>10</v>
      </c>
      <c r="N5" s="19">
        <v>22</v>
      </c>
      <c r="O5" s="19" t="s">
        <v>1475</v>
      </c>
      <c r="P5" s="19" t="s">
        <v>1475</v>
      </c>
      <c r="Q5" s="19" t="s">
        <v>1476</v>
      </c>
      <c r="R5" s="40" t="s">
        <v>1477</v>
      </c>
    </row>
    <row r="6" spans="1:18" x14ac:dyDescent="0.3">
      <c r="A6" s="19" t="s">
        <v>1481</v>
      </c>
      <c r="B6" s="40" t="s">
        <v>1471</v>
      </c>
      <c r="C6" s="40" t="s">
        <v>1472</v>
      </c>
      <c r="D6" s="19" t="s">
        <v>895</v>
      </c>
      <c r="E6" s="40" t="s">
        <v>1482</v>
      </c>
      <c r="F6" s="19" t="s">
        <v>1214</v>
      </c>
      <c r="G6" s="40" t="s">
        <v>1474</v>
      </c>
      <c r="H6" s="19">
        <v>200</v>
      </c>
      <c r="I6" s="40"/>
      <c r="J6" s="40"/>
      <c r="K6" s="19">
        <v>6</v>
      </c>
      <c r="L6" s="19">
        <v>3</v>
      </c>
      <c r="M6" s="19">
        <v>11</v>
      </c>
      <c r="N6" s="19">
        <v>28</v>
      </c>
      <c r="O6" s="19" t="s">
        <v>1475</v>
      </c>
      <c r="P6" s="19" t="s">
        <v>1475</v>
      </c>
      <c r="Q6" s="19" t="s">
        <v>1476</v>
      </c>
      <c r="R6" s="40" t="s">
        <v>1477</v>
      </c>
    </row>
    <row r="8" spans="1:18" x14ac:dyDescent="0.3">
      <c r="A8" s="2" t="s">
        <v>1483</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error="Chọn giá trị trong danh sách (sheet Tu_vung)." xr:uid="{00000000-0002-0000-0B00-000000000000}">
          <x14:formula1>
            <xm:f>Tu_vung!$I$2:$I$4</xm:f>
          </x14:formula1>
          <x14:formula2>
            <xm:f>0</xm:f>
          </x14:formula2>
          <xm:sqref>D4:D300</xm:sqref>
        </x14:dataValidation>
        <x14:dataValidation type="list" allowBlank="1" error="Chọn giá trị trong danh sách (sheet Tu_vung)." xr:uid="{00000000-0002-0000-0B00-000001000000}">
          <x14:formula1>
            <xm:f>Tu_vung!$L$2:$L$8</xm:f>
          </x14:formula1>
          <x14:formula2>
            <xm:f>0</xm:f>
          </x14:formula2>
          <xm:sqref>E4:E300</xm:sqref>
        </x14:dataValidation>
        <x14:dataValidation type="list" allowBlank="1" error="Chọn giá trị trong danh sách (sheet Tu_vung)." xr:uid="{00000000-0002-0000-0B00-000002000000}">
          <x14:formula1>
            <xm:f>Tu_vung!$J$2:$J$3</xm:f>
          </x14:formula1>
          <x14:formula2>
            <xm:f>0</xm:f>
          </x14:formula2>
          <xm:sqref>F4:F300</xm:sqref>
        </x14:dataValidation>
        <x14:dataValidation type="list" allowBlank="1" error="Chọn giá trị trong danh sách (sheet Tu_vung)." xr:uid="{00000000-0002-0000-0B00-000003000000}">
          <x14:formula1>
            <xm:f>Tu_vung!$K$2:$K$6</xm:f>
          </x14:formula1>
          <x14:formula2>
            <xm:f>0</xm:f>
          </x14:formula2>
          <xm:sqref>G4:G300</xm:sqref>
        </x14:dataValidation>
        <x14:dataValidation type="list" allowBlank="1" error="Chọn giá trị trong danh sách (sheet Tu_vung)." xr:uid="{00000000-0002-0000-0B00-000004000000}">
          <x14:formula1>
            <xm:f>Tu_vung!$M$2:$M$5</xm:f>
          </x14:formula1>
          <x14:formula2>
            <xm:f>0</xm:f>
          </x14:formula2>
          <xm:sqref>I4:I300</xm:sqref>
        </x14:dataValidation>
        <x14:dataValidation type="list" allowBlank="1" error="Chọn giá trị trong danh sách (sheet Tu_vung)." xr:uid="{00000000-0002-0000-0B00-000005000000}">
          <x14:formula1>
            <xm:f>Tu_vung!$N$2:$N$6</xm:f>
          </x14:formula1>
          <x14:formula2>
            <xm:f>0</xm:f>
          </x14:formula2>
          <xm:sqref>J4:J300</xm:sqref>
        </x14:dataValidation>
        <x14:dataValidation type="list" allowBlank="1" error="Chọn giá trị trong danh sách (sheet Tu_vung)." xr:uid="{00000000-0002-0000-0B00-000006000000}">
          <x14:formula1>
            <xm:f>Tu_vung!$P$2:$P$4</xm:f>
          </x14:formula1>
          <x14:formula2>
            <xm:f>0</xm:f>
          </x14:formula2>
          <xm:sqref>O4:P300</xm:sqref>
        </x14:dataValidation>
        <x14:dataValidation type="list" allowBlank="1" error="Chọn giá trị trong danh sách (sheet Tu_vung)." xr:uid="{00000000-0002-0000-0B00-000007000000}">
          <x14:formula1>
            <xm:f>Tu_vung!$O$2:$O$5</xm:f>
          </x14:formula1>
          <x14:formula2>
            <xm:f>0</xm:f>
          </x14:formula2>
          <xm:sqref>Q4:Q300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4"/>
  <sheetViews>
    <sheetView showGridLines="0" zoomScaleNormal="100" workbookViewId="0">
      <pane ySplit="3" topLeftCell="A4" activePane="bottomLeft" state="frozen"/>
      <selection pane="bottomLeft" activeCell="A4" sqref="A4"/>
    </sheetView>
  </sheetViews>
  <sheetFormatPr defaultColWidth="8.6640625" defaultRowHeight="14.4" x14ac:dyDescent="0.3"/>
  <cols>
    <col min="1" max="1" width="30" customWidth="1"/>
    <col min="2" max="2" width="28" customWidth="1"/>
    <col min="3" max="3" width="34" customWidth="1"/>
    <col min="4" max="4" width="40" customWidth="1"/>
    <col min="5" max="5" width="24" customWidth="1"/>
    <col min="6" max="6" width="30" customWidth="1"/>
  </cols>
  <sheetData>
    <row r="1" spans="1:6" ht="17.399999999999999" x14ac:dyDescent="0.3">
      <c r="A1" s="1" t="s">
        <v>1484</v>
      </c>
    </row>
    <row r="2" spans="1:6" x14ac:dyDescent="0.3">
      <c r="A2" s="2" t="s">
        <v>1485</v>
      </c>
    </row>
    <row r="3" spans="1:6" x14ac:dyDescent="0.3">
      <c r="A3" s="11" t="s">
        <v>1486</v>
      </c>
      <c r="B3" s="11" t="s">
        <v>1487</v>
      </c>
      <c r="C3" s="11" t="s">
        <v>1488</v>
      </c>
      <c r="D3" s="11" t="s">
        <v>1489</v>
      </c>
      <c r="E3" s="11" t="s">
        <v>1490</v>
      </c>
      <c r="F3" s="11" t="s">
        <v>1491</v>
      </c>
    </row>
    <row r="4" spans="1:6" ht="26.4" x14ac:dyDescent="0.3">
      <c r="A4" s="42" t="s">
        <v>1492</v>
      </c>
      <c r="B4" s="14" t="s">
        <v>1493</v>
      </c>
      <c r="C4" s="14" t="s">
        <v>1494</v>
      </c>
      <c r="D4" s="14" t="s">
        <v>1495</v>
      </c>
      <c r="E4" s="14" t="s">
        <v>1496</v>
      </c>
      <c r="F4" s="14" t="s">
        <v>1497</v>
      </c>
    </row>
    <row r="5" spans="1:6" ht="26.4" x14ac:dyDescent="0.3">
      <c r="A5" s="14" t="s">
        <v>1498</v>
      </c>
      <c r="B5" s="14" t="s">
        <v>1499</v>
      </c>
      <c r="C5" s="14" t="s">
        <v>1500</v>
      </c>
      <c r="D5" s="14" t="s">
        <v>1501</v>
      </c>
      <c r="E5" s="14" t="s">
        <v>1502</v>
      </c>
      <c r="F5" s="14"/>
    </row>
    <row r="6" spans="1:6" ht="26.4" x14ac:dyDescent="0.3">
      <c r="A6" s="14" t="s">
        <v>1503</v>
      </c>
      <c r="B6" s="14" t="s">
        <v>1499</v>
      </c>
      <c r="C6" s="14" t="s">
        <v>1504</v>
      </c>
      <c r="D6" s="14" t="s">
        <v>1505</v>
      </c>
      <c r="E6" s="14" t="s">
        <v>1502</v>
      </c>
      <c r="F6" s="14"/>
    </row>
    <row r="7" spans="1:6" ht="26.4" x14ac:dyDescent="0.3">
      <c r="A7" s="14" t="s">
        <v>1506</v>
      </c>
      <c r="B7" s="14" t="s">
        <v>1499</v>
      </c>
      <c r="C7" s="14" t="s">
        <v>1500</v>
      </c>
      <c r="D7" s="14" t="s">
        <v>1501</v>
      </c>
      <c r="E7" s="14" t="s">
        <v>1502</v>
      </c>
      <c r="F7" s="14" t="s">
        <v>1507</v>
      </c>
    </row>
    <row r="8" spans="1:6" ht="26.4" x14ac:dyDescent="0.3">
      <c r="A8" s="14" t="s">
        <v>1508</v>
      </c>
      <c r="B8" s="14" t="s">
        <v>1499</v>
      </c>
      <c r="C8" s="14" t="s">
        <v>1509</v>
      </c>
      <c r="D8" s="14" t="s">
        <v>1510</v>
      </c>
      <c r="E8" s="14" t="s">
        <v>1502</v>
      </c>
      <c r="F8" s="14" t="s">
        <v>1511</v>
      </c>
    </row>
    <row r="9" spans="1:6" ht="39.6" x14ac:dyDescent="0.3">
      <c r="A9" s="14" t="s">
        <v>1512</v>
      </c>
      <c r="B9" s="14" t="s">
        <v>1513</v>
      </c>
      <c r="C9" s="14" t="s">
        <v>1514</v>
      </c>
      <c r="D9" s="14" t="s">
        <v>1515</v>
      </c>
      <c r="E9" s="14" t="s">
        <v>1502</v>
      </c>
      <c r="F9" s="14" t="s">
        <v>1516</v>
      </c>
    </row>
    <row r="10" spans="1:6" ht="26.4" x14ac:dyDescent="0.3">
      <c r="A10" s="14" t="s">
        <v>1517</v>
      </c>
      <c r="B10" s="14" t="s">
        <v>1518</v>
      </c>
      <c r="C10" s="14" t="s">
        <v>1519</v>
      </c>
      <c r="D10" s="14" t="s">
        <v>1520</v>
      </c>
      <c r="E10" s="14" t="s">
        <v>1502</v>
      </c>
      <c r="F10" s="14" t="s">
        <v>1521</v>
      </c>
    </row>
    <row r="11" spans="1:6" ht="26.4" x14ac:dyDescent="0.3">
      <c r="A11" s="14" t="s">
        <v>1522</v>
      </c>
      <c r="B11" s="14" t="s">
        <v>1523</v>
      </c>
      <c r="C11" s="14" t="s">
        <v>1524</v>
      </c>
      <c r="D11" s="14" t="s">
        <v>1525</v>
      </c>
      <c r="E11" s="14" t="s">
        <v>1502</v>
      </c>
      <c r="F11" s="14" t="s">
        <v>1526</v>
      </c>
    </row>
    <row r="12" spans="1:6" ht="26.4" x14ac:dyDescent="0.3">
      <c r="A12" s="14" t="s">
        <v>1527</v>
      </c>
      <c r="B12" s="14" t="s">
        <v>1523</v>
      </c>
      <c r="C12" s="14" t="s">
        <v>1500</v>
      </c>
      <c r="D12" s="14" t="s">
        <v>1528</v>
      </c>
      <c r="E12" s="14" t="s">
        <v>1502</v>
      </c>
      <c r="F12" s="14" t="s">
        <v>1529</v>
      </c>
    </row>
    <row r="13" spans="1:6" ht="26.4" x14ac:dyDescent="0.3">
      <c r="A13" s="14" t="s">
        <v>1530</v>
      </c>
      <c r="B13" s="14" t="s">
        <v>1499</v>
      </c>
      <c r="C13" s="14" t="s">
        <v>1500</v>
      </c>
      <c r="D13" s="14" t="s">
        <v>1531</v>
      </c>
      <c r="E13" s="14" t="s">
        <v>1502</v>
      </c>
      <c r="F13" s="14" t="s">
        <v>1532</v>
      </c>
    </row>
    <row r="14" spans="1:6" ht="26.4" x14ac:dyDescent="0.3">
      <c r="A14" s="14" t="s">
        <v>1533</v>
      </c>
      <c r="B14" s="14" t="s">
        <v>1534</v>
      </c>
      <c r="C14" s="14" t="s">
        <v>1535</v>
      </c>
      <c r="D14" s="14" t="s">
        <v>1536</v>
      </c>
      <c r="E14" s="14" t="s">
        <v>1537</v>
      </c>
      <c r="F14" s="14" t="s">
        <v>1538</v>
      </c>
    </row>
    <row r="15" spans="1:6" x14ac:dyDescent="0.3">
      <c r="A15" s="14" t="s">
        <v>1539</v>
      </c>
      <c r="B15" s="14" t="s">
        <v>1534</v>
      </c>
      <c r="C15" s="14" t="s">
        <v>1540</v>
      </c>
      <c r="D15" s="14" t="s">
        <v>1541</v>
      </c>
      <c r="E15" s="14" t="s">
        <v>1542</v>
      </c>
      <c r="F15" s="14" t="s">
        <v>1543</v>
      </c>
    </row>
    <row r="16" spans="1:6" ht="26.4" x14ac:dyDescent="0.3">
      <c r="A16" s="14" t="s">
        <v>1544</v>
      </c>
      <c r="B16" s="14" t="s">
        <v>1545</v>
      </c>
      <c r="C16" s="14" t="s">
        <v>1546</v>
      </c>
      <c r="D16" s="14" t="s">
        <v>1547</v>
      </c>
      <c r="E16" s="14" t="s">
        <v>1548</v>
      </c>
      <c r="F16" s="14" t="s">
        <v>1549</v>
      </c>
    </row>
    <row r="17" spans="1:6" ht="26.4" x14ac:dyDescent="0.3">
      <c r="A17" s="14" t="s">
        <v>1550</v>
      </c>
      <c r="B17" s="14" t="s">
        <v>1551</v>
      </c>
      <c r="C17" s="14" t="s">
        <v>1552</v>
      </c>
      <c r="D17" s="14" t="s">
        <v>1553</v>
      </c>
      <c r="E17" s="14" t="s">
        <v>1542</v>
      </c>
      <c r="F17" s="14" t="s">
        <v>1554</v>
      </c>
    </row>
    <row r="18" spans="1:6" ht="26.4" x14ac:dyDescent="0.3">
      <c r="A18" s="14" t="s">
        <v>1555</v>
      </c>
      <c r="B18" s="14" t="s">
        <v>1556</v>
      </c>
      <c r="C18" s="14" t="s">
        <v>1557</v>
      </c>
      <c r="D18" s="14" t="s">
        <v>1553</v>
      </c>
      <c r="E18" s="14" t="s">
        <v>1542</v>
      </c>
      <c r="F18" s="14" t="s">
        <v>1558</v>
      </c>
    </row>
    <row r="19" spans="1:6" ht="39.6" x14ac:dyDescent="0.3">
      <c r="A19" s="14" t="s">
        <v>1559</v>
      </c>
      <c r="B19" s="14" t="s">
        <v>1560</v>
      </c>
      <c r="C19" s="14" t="s">
        <v>1561</v>
      </c>
      <c r="D19" s="14" t="s">
        <v>1553</v>
      </c>
      <c r="E19" s="14" t="s">
        <v>1542</v>
      </c>
      <c r="F19" s="14" t="s">
        <v>1562</v>
      </c>
    </row>
    <row r="20" spans="1:6" x14ac:dyDescent="0.3">
      <c r="A20" s="14" t="s">
        <v>1563</v>
      </c>
      <c r="B20" s="14" t="s">
        <v>1560</v>
      </c>
      <c r="C20" s="14" t="s">
        <v>1564</v>
      </c>
      <c r="D20" s="14" t="s">
        <v>1553</v>
      </c>
      <c r="E20" s="14" t="s">
        <v>1542</v>
      </c>
      <c r="F20" s="14"/>
    </row>
    <row r="21" spans="1:6" ht="26.4" x14ac:dyDescent="0.3">
      <c r="A21" s="14" t="s">
        <v>1565</v>
      </c>
      <c r="B21" s="14" t="s">
        <v>1566</v>
      </c>
      <c r="C21" s="14" t="s">
        <v>1567</v>
      </c>
      <c r="D21" s="14" t="s">
        <v>1553</v>
      </c>
      <c r="E21" s="14" t="s">
        <v>1542</v>
      </c>
      <c r="F21" s="14" t="s">
        <v>1568</v>
      </c>
    </row>
    <row r="22" spans="1:6" ht="26.4" x14ac:dyDescent="0.3">
      <c r="A22" s="14" t="s">
        <v>1569</v>
      </c>
      <c r="B22" s="14" t="s">
        <v>1570</v>
      </c>
      <c r="C22" s="14" t="s">
        <v>1571</v>
      </c>
      <c r="D22" s="14" t="s">
        <v>1553</v>
      </c>
      <c r="E22" s="14" t="s">
        <v>1572</v>
      </c>
      <c r="F22" s="14" t="s">
        <v>1573</v>
      </c>
    </row>
    <row r="23" spans="1:6" x14ac:dyDescent="0.3">
      <c r="A23" s="14" t="s">
        <v>1574</v>
      </c>
      <c r="B23" s="14" t="s">
        <v>1575</v>
      </c>
      <c r="C23" s="14" t="s">
        <v>1576</v>
      </c>
      <c r="D23" s="14" t="s">
        <v>1553</v>
      </c>
      <c r="E23" s="14" t="s">
        <v>1572</v>
      </c>
      <c r="F23" s="14"/>
    </row>
    <row r="24" spans="1:6" ht="26.4" x14ac:dyDescent="0.3">
      <c r="A24" s="14" t="s">
        <v>1577</v>
      </c>
      <c r="B24" s="14" t="s">
        <v>1578</v>
      </c>
      <c r="C24" s="14" t="s">
        <v>1579</v>
      </c>
      <c r="D24" s="14" t="s">
        <v>1580</v>
      </c>
      <c r="E24" s="14" t="s">
        <v>1581</v>
      </c>
      <c r="F24" s="14"/>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2"/>
  <sheetViews>
    <sheetView showGridLines="0" zoomScaleNormal="100" workbookViewId="0">
      <pane ySplit="3" topLeftCell="A4" activePane="bottomLeft" state="frozen"/>
      <selection pane="bottomLeft" activeCell="A20" sqref="A20"/>
    </sheetView>
  </sheetViews>
  <sheetFormatPr defaultColWidth="8.6640625" defaultRowHeight="14.4" x14ac:dyDescent="0.3"/>
  <cols>
    <col min="1" max="1" width="60" customWidth="1"/>
    <col min="2" max="3" width="56" customWidth="1"/>
    <col min="4" max="4" width="34" customWidth="1"/>
  </cols>
  <sheetData>
    <row r="1" spans="1:4" ht="17.399999999999999" x14ac:dyDescent="0.3">
      <c r="A1" s="1" t="s">
        <v>1582</v>
      </c>
    </row>
    <row r="2" spans="1:4" x14ac:dyDescent="0.3">
      <c r="A2" s="2" t="s">
        <v>1583</v>
      </c>
    </row>
    <row r="3" spans="1:4" x14ac:dyDescent="0.3">
      <c r="A3" s="11" t="s">
        <v>1584</v>
      </c>
      <c r="B3" s="11" t="s">
        <v>1585</v>
      </c>
      <c r="C3" s="11" t="s">
        <v>1488</v>
      </c>
      <c r="D3" s="11" t="s">
        <v>1586</v>
      </c>
    </row>
    <row r="4" spans="1:4" ht="26.4" x14ac:dyDescent="0.3">
      <c r="A4" s="14" t="s">
        <v>1587</v>
      </c>
      <c r="B4" s="14" t="s">
        <v>1588</v>
      </c>
      <c r="C4" s="14" t="s">
        <v>1589</v>
      </c>
      <c r="D4" s="14" t="s">
        <v>1590</v>
      </c>
    </row>
    <row r="5" spans="1:4" ht="26.4" x14ac:dyDescent="0.3">
      <c r="A5" s="14" t="s">
        <v>1591</v>
      </c>
      <c r="B5" s="14" t="s">
        <v>1592</v>
      </c>
      <c r="C5" s="14" t="s">
        <v>1593</v>
      </c>
      <c r="D5" s="14" t="s">
        <v>1590</v>
      </c>
    </row>
    <row r="6" spans="1:4" ht="26.4" x14ac:dyDescent="0.3">
      <c r="A6" s="14" t="s">
        <v>1594</v>
      </c>
      <c r="B6" s="14" t="s">
        <v>1595</v>
      </c>
      <c r="C6" s="14" t="s">
        <v>1596</v>
      </c>
      <c r="D6" s="14" t="s">
        <v>1597</v>
      </c>
    </row>
    <row r="7" spans="1:4" ht="26.4" x14ac:dyDescent="0.3">
      <c r="A7" s="14" t="s">
        <v>1598</v>
      </c>
      <c r="B7" s="14" t="s">
        <v>1599</v>
      </c>
      <c r="C7" s="14" t="s">
        <v>1600</v>
      </c>
      <c r="D7" s="14" t="s">
        <v>1601</v>
      </c>
    </row>
    <row r="8" spans="1:4" x14ac:dyDescent="0.3">
      <c r="A8" s="14" t="s">
        <v>1602</v>
      </c>
      <c r="B8" s="14" t="s">
        <v>1603</v>
      </c>
      <c r="C8" s="14" t="s">
        <v>1604</v>
      </c>
      <c r="D8" s="14" t="s">
        <v>1605</v>
      </c>
    </row>
    <row r="9" spans="1:4" x14ac:dyDescent="0.3">
      <c r="A9" s="14" t="s">
        <v>1606</v>
      </c>
      <c r="B9" s="14" t="s">
        <v>1607</v>
      </c>
      <c r="C9" s="14" t="s">
        <v>1608</v>
      </c>
      <c r="D9" s="14" t="s">
        <v>1605</v>
      </c>
    </row>
    <row r="10" spans="1:4" ht="26.4" x14ac:dyDescent="0.3">
      <c r="A10" s="14" t="s">
        <v>1609</v>
      </c>
      <c r="B10" s="14" t="s">
        <v>1610</v>
      </c>
      <c r="C10" s="14" t="s">
        <v>1611</v>
      </c>
      <c r="D10" s="14" t="s">
        <v>1605</v>
      </c>
    </row>
    <row r="11" spans="1:4" x14ac:dyDescent="0.3">
      <c r="A11" s="14" t="s">
        <v>1612</v>
      </c>
      <c r="B11" s="14" t="s">
        <v>1613</v>
      </c>
      <c r="C11" s="14" t="s">
        <v>1614</v>
      </c>
      <c r="D11" s="14" t="s">
        <v>1615</v>
      </c>
    </row>
    <row r="12" spans="1:4" x14ac:dyDescent="0.3">
      <c r="A12" s="14" t="s">
        <v>1616</v>
      </c>
      <c r="B12" s="14" t="s">
        <v>1617</v>
      </c>
      <c r="C12" s="14" t="s">
        <v>1618</v>
      </c>
      <c r="D12" s="14" t="s">
        <v>1619</v>
      </c>
    </row>
    <row r="13" spans="1:4" x14ac:dyDescent="0.3">
      <c r="A13" s="14" t="s">
        <v>1620</v>
      </c>
      <c r="B13" s="14" t="s">
        <v>1621</v>
      </c>
      <c r="C13" s="14" t="s">
        <v>1622</v>
      </c>
      <c r="D13" s="14" t="s">
        <v>1619</v>
      </c>
    </row>
    <row r="14" spans="1:4" ht="26.4" x14ac:dyDescent="0.3">
      <c r="A14" s="14" t="s">
        <v>1623</v>
      </c>
      <c r="B14" s="14" t="s">
        <v>1624</v>
      </c>
      <c r="C14" s="14" t="s">
        <v>1625</v>
      </c>
      <c r="D14" s="14" t="s">
        <v>1626</v>
      </c>
    </row>
    <row r="15" spans="1:4" x14ac:dyDescent="0.3">
      <c r="A15" s="14" t="s">
        <v>1627</v>
      </c>
      <c r="B15" s="14" t="s">
        <v>1628</v>
      </c>
      <c r="C15" s="14" t="s">
        <v>1629</v>
      </c>
      <c r="D15" s="14" t="s">
        <v>1630</v>
      </c>
    </row>
    <row r="16" spans="1:4" x14ac:dyDescent="0.3">
      <c r="A16" s="42" t="s">
        <v>1631</v>
      </c>
      <c r="B16" s="14" t="s">
        <v>1632</v>
      </c>
      <c r="C16" s="14" t="s">
        <v>1633</v>
      </c>
      <c r="D16" s="14" t="s">
        <v>1630</v>
      </c>
    </row>
    <row r="17" spans="1:4" x14ac:dyDescent="0.3">
      <c r="A17" s="14" t="s">
        <v>1634</v>
      </c>
      <c r="B17" s="14" t="s">
        <v>1635</v>
      </c>
      <c r="C17" s="14" t="s">
        <v>1636</v>
      </c>
      <c r="D17" s="14" t="s">
        <v>1630</v>
      </c>
    </row>
    <row r="18" spans="1:4" x14ac:dyDescent="0.3">
      <c r="A18" s="14" t="s">
        <v>1637</v>
      </c>
      <c r="B18" s="14" t="s">
        <v>1638</v>
      </c>
      <c r="C18" s="14" t="s">
        <v>1639</v>
      </c>
      <c r="D18" s="14" t="s">
        <v>1630</v>
      </c>
    </row>
    <row r="19" spans="1:4" x14ac:dyDescent="0.3">
      <c r="A19" s="14" t="s">
        <v>1640</v>
      </c>
      <c r="B19" s="14" t="s">
        <v>1641</v>
      </c>
      <c r="C19" s="14" t="s">
        <v>1642</v>
      </c>
      <c r="D19" s="14" t="s">
        <v>1630</v>
      </c>
    </row>
    <row r="20" spans="1:4" ht="26.4" x14ac:dyDescent="0.3">
      <c r="A20" s="42" t="s">
        <v>1643</v>
      </c>
      <c r="B20" s="14" t="s">
        <v>1644</v>
      </c>
      <c r="C20" s="14" t="s">
        <v>1645</v>
      </c>
      <c r="D20" s="14" t="s">
        <v>1630</v>
      </c>
    </row>
    <row r="21" spans="1:4" x14ac:dyDescent="0.3">
      <c r="A21" s="14" t="s">
        <v>1646</v>
      </c>
      <c r="B21" s="14" t="s">
        <v>1647</v>
      </c>
      <c r="C21" s="14" t="s">
        <v>1648</v>
      </c>
      <c r="D21" s="14" t="s">
        <v>1630</v>
      </c>
    </row>
    <row r="22" spans="1:4" x14ac:dyDescent="0.3">
      <c r="A22" s="14" t="s">
        <v>1649</v>
      </c>
      <c r="B22" s="14" t="s">
        <v>1650</v>
      </c>
      <c r="C22" s="14" t="s">
        <v>1651</v>
      </c>
      <c r="D22" s="14" t="s">
        <v>1630</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
  <sheetViews>
    <sheetView showGridLines="0" tabSelected="1" zoomScaleNormal="100" workbookViewId="0">
      <pane ySplit="3" topLeftCell="A4" activePane="bottomLeft" state="frozen"/>
      <selection pane="bottomLeft"/>
    </sheetView>
  </sheetViews>
  <sheetFormatPr defaultColWidth="8.6640625" defaultRowHeight="14.4" x14ac:dyDescent="0.3"/>
  <cols>
    <col min="1" max="1" width="16" customWidth="1"/>
    <col min="2" max="2" width="28" customWidth="1"/>
    <col min="3" max="5" width="18" customWidth="1"/>
    <col min="6" max="6" width="44" customWidth="1"/>
  </cols>
  <sheetData>
    <row r="1" spans="1:6" ht="17.399999999999999" x14ac:dyDescent="0.3">
      <c r="A1" s="1" t="s">
        <v>1652</v>
      </c>
    </row>
    <row r="2" spans="1:6" x14ac:dyDescent="0.3">
      <c r="A2" s="2" t="s">
        <v>1653</v>
      </c>
    </row>
    <row r="3" spans="1:6" x14ac:dyDescent="0.3">
      <c r="A3" s="11" t="s">
        <v>238</v>
      </c>
      <c r="B3" s="11" t="s">
        <v>1654</v>
      </c>
      <c r="C3" s="11" t="s">
        <v>889</v>
      </c>
      <c r="D3" s="11" t="s">
        <v>916</v>
      </c>
      <c r="E3" s="11" t="s">
        <v>895</v>
      </c>
      <c r="F3" s="11" t="s">
        <v>72</v>
      </c>
    </row>
    <row r="4" spans="1:6" x14ac:dyDescent="0.3">
      <c r="A4" s="14" t="s">
        <v>1655</v>
      </c>
      <c r="B4" s="14" t="s">
        <v>1656</v>
      </c>
      <c r="C4" s="14" t="s">
        <v>1657</v>
      </c>
      <c r="D4" s="14"/>
      <c r="E4" s="14" t="s">
        <v>1658</v>
      </c>
      <c r="F4" s="14" t="s">
        <v>1659</v>
      </c>
    </row>
    <row r="5" spans="1:6" x14ac:dyDescent="0.3">
      <c r="A5" s="14" t="s">
        <v>1655</v>
      </c>
      <c r="B5" s="14" t="s">
        <v>1660</v>
      </c>
      <c r="C5" s="14" t="s">
        <v>1661</v>
      </c>
      <c r="D5" s="14"/>
      <c r="E5" s="14" t="s">
        <v>1662</v>
      </c>
      <c r="F5" s="14" t="s">
        <v>1663</v>
      </c>
    </row>
    <row r="6" spans="1:6" x14ac:dyDescent="0.3">
      <c r="A6" s="14" t="s">
        <v>1655</v>
      </c>
      <c r="B6" s="14" t="s">
        <v>1664</v>
      </c>
      <c r="C6" s="14" t="s">
        <v>1665</v>
      </c>
      <c r="D6" s="14"/>
      <c r="E6" s="14" t="s">
        <v>1666</v>
      </c>
      <c r="F6" s="14" t="s">
        <v>1667</v>
      </c>
    </row>
    <row r="7" spans="1:6" x14ac:dyDescent="0.3">
      <c r="A7" s="14" t="s">
        <v>1655</v>
      </c>
      <c r="B7" s="14" t="s">
        <v>1668</v>
      </c>
      <c r="C7" s="14" t="s">
        <v>1668</v>
      </c>
      <c r="D7" s="14"/>
      <c r="E7" s="14" t="s">
        <v>1669</v>
      </c>
      <c r="F7" s="14" t="s">
        <v>1670</v>
      </c>
    </row>
    <row r="8" spans="1:6" ht="26.4" x14ac:dyDescent="0.3">
      <c r="A8" s="14" t="s">
        <v>1655</v>
      </c>
      <c r="B8" s="14" t="s">
        <v>1671</v>
      </c>
      <c r="C8" s="14" t="s">
        <v>1671</v>
      </c>
      <c r="D8" s="14"/>
      <c r="E8" s="14" t="s">
        <v>1672</v>
      </c>
      <c r="F8" s="14" t="s">
        <v>1673</v>
      </c>
    </row>
    <row r="9" spans="1:6" x14ac:dyDescent="0.3">
      <c r="A9" s="14" t="s">
        <v>1655</v>
      </c>
      <c r="B9" s="14" t="s">
        <v>1674</v>
      </c>
      <c r="C9" s="14" t="s">
        <v>1675</v>
      </c>
      <c r="D9" s="14"/>
      <c r="E9" s="14" t="s">
        <v>1674</v>
      </c>
      <c r="F9" s="14" t="s">
        <v>1676</v>
      </c>
    </row>
    <row r="10" spans="1:6" x14ac:dyDescent="0.3">
      <c r="A10" s="14" t="s">
        <v>1655</v>
      </c>
      <c r="B10" s="14" t="s">
        <v>1677</v>
      </c>
      <c r="C10" s="14" t="s">
        <v>1677</v>
      </c>
      <c r="D10" s="14"/>
      <c r="E10" s="14" t="s">
        <v>1678</v>
      </c>
      <c r="F10" s="14" t="s">
        <v>1679</v>
      </c>
    </row>
    <row r="11" spans="1:6" ht="26.4" x14ac:dyDescent="0.3">
      <c r="A11" s="14" t="s">
        <v>1655</v>
      </c>
      <c r="B11" s="14" t="s">
        <v>1680</v>
      </c>
      <c r="C11" s="14" t="s">
        <v>1681</v>
      </c>
      <c r="D11" s="14"/>
      <c r="E11" s="14" t="s">
        <v>1680</v>
      </c>
      <c r="F11" s="14" t="s">
        <v>1682</v>
      </c>
    </row>
    <row r="12" spans="1:6" x14ac:dyDescent="0.3">
      <c r="A12" s="14" t="s">
        <v>1683</v>
      </c>
      <c r="B12" s="14" t="s">
        <v>1684</v>
      </c>
      <c r="C12" s="14" t="s">
        <v>754</v>
      </c>
      <c r="D12" s="14"/>
      <c r="E12" s="14" t="s">
        <v>1685</v>
      </c>
      <c r="F12" s="14" t="s">
        <v>1686</v>
      </c>
    </row>
    <row r="13" spans="1:6" x14ac:dyDescent="0.3">
      <c r="A13" s="14" t="s">
        <v>1683</v>
      </c>
      <c r="B13" s="14" t="s">
        <v>1687</v>
      </c>
      <c r="C13" s="14" t="s">
        <v>1688</v>
      </c>
      <c r="D13" s="14"/>
      <c r="E13" s="14" t="s">
        <v>1689</v>
      </c>
      <c r="F13" s="14" t="s">
        <v>1690</v>
      </c>
    </row>
    <row r="14" spans="1:6" ht="26.4" x14ac:dyDescent="0.3">
      <c r="A14" s="14" t="s">
        <v>661</v>
      </c>
      <c r="B14" s="14" t="s">
        <v>1691</v>
      </c>
      <c r="C14" s="14" t="s">
        <v>1692</v>
      </c>
      <c r="D14" s="14" t="s">
        <v>1693</v>
      </c>
      <c r="E14" s="14" t="s">
        <v>1693</v>
      </c>
      <c r="F14" s="14" t="s">
        <v>1694</v>
      </c>
    </row>
    <row r="15" spans="1:6" ht="26.4" x14ac:dyDescent="0.3">
      <c r="A15" s="14" t="s">
        <v>661</v>
      </c>
      <c r="B15" s="14" t="s">
        <v>1695</v>
      </c>
      <c r="C15" s="14" t="s">
        <v>1696</v>
      </c>
      <c r="D15" s="14"/>
      <c r="E15" s="14" t="s">
        <v>1697</v>
      </c>
      <c r="F15" s="14" t="s">
        <v>1698</v>
      </c>
    </row>
    <row r="16" spans="1:6" ht="26.4" x14ac:dyDescent="0.3">
      <c r="A16" s="14" t="s">
        <v>661</v>
      </c>
      <c r="B16" s="14" t="s">
        <v>1699</v>
      </c>
      <c r="C16" s="14" t="s">
        <v>1699</v>
      </c>
      <c r="D16" s="14" t="s">
        <v>1700</v>
      </c>
      <c r="E16" s="14" t="s">
        <v>1701</v>
      </c>
      <c r="F16" s="14" t="s">
        <v>1702</v>
      </c>
    </row>
    <row r="17" spans="1:6" ht="26.4" x14ac:dyDescent="0.3">
      <c r="A17" s="14" t="s">
        <v>661</v>
      </c>
      <c r="B17" s="14" t="s">
        <v>1703</v>
      </c>
      <c r="C17" s="14" t="s">
        <v>1703</v>
      </c>
      <c r="D17" s="14"/>
      <c r="E17" s="14" t="s">
        <v>1704</v>
      </c>
      <c r="F17" s="14" t="s">
        <v>1702</v>
      </c>
    </row>
    <row r="18" spans="1:6" x14ac:dyDescent="0.3">
      <c r="A18" s="14" t="s">
        <v>1705</v>
      </c>
      <c r="B18" s="14" t="s">
        <v>1706</v>
      </c>
      <c r="C18" s="14" t="s">
        <v>1707</v>
      </c>
      <c r="D18" s="14" t="s">
        <v>1708</v>
      </c>
      <c r="E18" s="14" t="s">
        <v>1709</v>
      </c>
      <c r="F18" s="14" t="s">
        <v>1710</v>
      </c>
    </row>
    <row r="19" spans="1:6" x14ac:dyDescent="0.3">
      <c r="A19" s="14" t="s">
        <v>1711</v>
      </c>
      <c r="B19" s="14" t="s">
        <v>1712</v>
      </c>
      <c r="C19" s="14" t="s">
        <v>1714</v>
      </c>
      <c r="D19" s="14" t="s">
        <v>1713</v>
      </c>
      <c r="E19" s="14" t="s">
        <v>1713</v>
      </c>
      <c r="F19" s="14" t="s">
        <v>1715</v>
      </c>
    </row>
    <row r="20" spans="1:6" x14ac:dyDescent="0.3">
      <c r="A20" s="14" t="s">
        <v>1711</v>
      </c>
      <c r="B20" s="14" t="s">
        <v>1716</v>
      </c>
      <c r="C20" s="14" t="s">
        <v>1717</v>
      </c>
      <c r="D20" s="14"/>
      <c r="E20" s="14" t="s">
        <v>1718</v>
      </c>
      <c r="F20" s="14" t="s">
        <v>1719</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3"/>
  <sheetViews>
    <sheetView zoomScaleNormal="100" workbookViewId="0">
      <pane ySplit="1" topLeftCell="A2" activePane="bottomLeft" state="frozen"/>
      <selection pane="bottomLeft" activeCell="C31" sqref="C31"/>
    </sheetView>
  </sheetViews>
  <sheetFormatPr defaultColWidth="8.6640625" defaultRowHeight="14.4" x14ac:dyDescent="0.3"/>
  <cols>
    <col min="1" max="17" width="24" customWidth="1"/>
  </cols>
  <sheetData>
    <row r="1" spans="1:17" x14ac:dyDescent="0.3">
      <c r="A1" s="41" t="s">
        <v>1720</v>
      </c>
      <c r="B1" s="41" t="s">
        <v>870</v>
      </c>
      <c r="C1" s="41" t="s">
        <v>875</v>
      </c>
      <c r="D1" s="41" t="s">
        <v>876</v>
      </c>
      <c r="E1" s="41" t="s">
        <v>877</v>
      </c>
      <c r="F1" s="41" t="s">
        <v>873</v>
      </c>
      <c r="G1" s="41" t="s">
        <v>1721</v>
      </c>
      <c r="H1" s="41" t="s">
        <v>1722</v>
      </c>
      <c r="I1" s="41" t="s">
        <v>1723</v>
      </c>
      <c r="J1" s="41" t="s">
        <v>1724</v>
      </c>
      <c r="K1" s="41" t="s">
        <v>1725</v>
      </c>
      <c r="L1" s="41" t="s">
        <v>1726</v>
      </c>
      <c r="M1" s="41" t="s">
        <v>1727</v>
      </c>
      <c r="N1" s="41" t="s">
        <v>1728</v>
      </c>
      <c r="O1" s="41" t="s">
        <v>1729</v>
      </c>
      <c r="P1" s="41" t="s">
        <v>1730</v>
      </c>
      <c r="Q1" s="41" t="s">
        <v>867</v>
      </c>
    </row>
    <row r="2" spans="1:17" x14ac:dyDescent="0.3">
      <c r="A2" s="10" t="s">
        <v>74</v>
      </c>
      <c r="B2" s="10" t="s">
        <v>884</v>
      </c>
      <c r="C2" s="10" t="s">
        <v>900</v>
      </c>
      <c r="D2" s="10" t="s">
        <v>889</v>
      </c>
      <c r="E2" s="10" t="s">
        <v>890</v>
      </c>
      <c r="F2" s="10" t="s">
        <v>887</v>
      </c>
      <c r="G2" s="10" t="s">
        <v>506</v>
      </c>
      <c r="H2" s="10" t="s">
        <v>78</v>
      </c>
      <c r="I2" s="10" t="s">
        <v>889</v>
      </c>
      <c r="J2" s="10" t="s">
        <v>895</v>
      </c>
      <c r="K2" s="10" t="s">
        <v>1731</v>
      </c>
      <c r="L2" s="10" t="s">
        <v>1473</v>
      </c>
      <c r="M2" s="10" t="s">
        <v>287</v>
      </c>
      <c r="N2" s="10" t="s">
        <v>890</v>
      </c>
      <c r="O2" s="10" t="s">
        <v>1476</v>
      </c>
      <c r="P2" s="10" t="s">
        <v>1475</v>
      </c>
      <c r="Q2" s="10" t="s">
        <v>132</v>
      </c>
    </row>
    <row r="3" spans="1:17" x14ac:dyDescent="0.3">
      <c r="A3" s="10" t="s">
        <v>84</v>
      </c>
      <c r="B3" s="10" t="s">
        <v>898</v>
      </c>
      <c r="C3" s="10" t="s">
        <v>889</v>
      </c>
      <c r="D3" s="10" t="s">
        <v>916</v>
      </c>
      <c r="E3" s="10" t="s">
        <v>1002</v>
      </c>
      <c r="F3" s="10" t="s">
        <v>955</v>
      </c>
      <c r="G3" s="10" t="s">
        <v>326</v>
      </c>
      <c r="H3" s="10" t="s">
        <v>178</v>
      </c>
      <c r="I3" s="10" t="s">
        <v>916</v>
      </c>
      <c r="J3" s="10" t="s">
        <v>1214</v>
      </c>
      <c r="K3" s="10" t="s">
        <v>1732</v>
      </c>
      <c r="L3" s="10" t="s">
        <v>1733</v>
      </c>
      <c r="M3" s="10" t="s">
        <v>276</v>
      </c>
      <c r="N3" s="10" t="s">
        <v>1734</v>
      </c>
      <c r="O3" s="10" t="s">
        <v>1735</v>
      </c>
      <c r="P3" s="10" t="s">
        <v>1736</v>
      </c>
      <c r="Q3" s="10" t="s">
        <v>140</v>
      </c>
    </row>
    <row r="4" spans="1:17" x14ac:dyDescent="0.3">
      <c r="A4" s="10" t="s">
        <v>55</v>
      </c>
      <c r="B4" s="10" t="s">
        <v>1098</v>
      </c>
      <c r="C4" s="10" t="s">
        <v>916</v>
      </c>
      <c r="D4" s="10" t="s">
        <v>895</v>
      </c>
      <c r="E4" s="10" t="s">
        <v>1051</v>
      </c>
      <c r="G4" s="10" t="s">
        <v>478</v>
      </c>
      <c r="H4" s="10" t="s">
        <v>143</v>
      </c>
      <c r="I4" s="10" t="s">
        <v>895</v>
      </c>
      <c r="K4" s="10" t="s">
        <v>1474</v>
      </c>
      <c r="L4" s="10" t="s">
        <v>1737</v>
      </c>
      <c r="M4" s="10" t="s">
        <v>263</v>
      </c>
      <c r="N4" s="10" t="s">
        <v>1738</v>
      </c>
      <c r="O4" s="10" t="s">
        <v>1739</v>
      </c>
      <c r="P4" s="10" t="s">
        <v>1740</v>
      </c>
      <c r="Q4" s="10" t="s">
        <v>150</v>
      </c>
    </row>
    <row r="5" spans="1:17" x14ac:dyDescent="0.3">
      <c r="A5" s="10" t="s">
        <v>100</v>
      </c>
      <c r="B5" s="10" t="s">
        <v>927</v>
      </c>
      <c r="C5" s="10" t="s">
        <v>895</v>
      </c>
      <c r="D5" s="10" t="s">
        <v>901</v>
      </c>
      <c r="E5" s="10" t="s">
        <v>929</v>
      </c>
      <c r="G5" s="10" t="s">
        <v>258</v>
      </c>
      <c r="K5" s="10" t="s">
        <v>1480</v>
      </c>
      <c r="L5" s="10" t="s">
        <v>1741</v>
      </c>
      <c r="M5" s="10" t="s">
        <v>1742</v>
      </c>
      <c r="N5" s="10" t="s">
        <v>1743</v>
      </c>
      <c r="O5" s="10" t="s">
        <v>1487</v>
      </c>
      <c r="Q5" s="10" t="s">
        <v>159</v>
      </c>
    </row>
    <row r="6" spans="1:17" x14ac:dyDescent="0.3">
      <c r="A6" s="10" t="s">
        <v>108</v>
      </c>
      <c r="B6" s="10" t="s">
        <v>1059</v>
      </c>
      <c r="E6" s="10" t="s">
        <v>979</v>
      </c>
      <c r="G6" s="10" t="s">
        <v>378</v>
      </c>
      <c r="K6" s="10" t="s">
        <v>1744</v>
      </c>
      <c r="L6" s="10" t="s">
        <v>1482</v>
      </c>
      <c r="N6" s="10" t="s">
        <v>1745</v>
      </c>
      <c r="Q6" s="10" t="s">
        <v>167</v>
      </c>
    </row>
    <row r="7" spans="1:17" x14ac:dyDescent="0.3">
      <c r="E7" s="10" t="s">
        <v>1086</v>
      </c>
      <c r="G7" s="10" t="s">
        <v>335</v>
      </c>
      <c r="L7" s="10" t="s">
        <v>1479</v>
      </c>
      <c r="Q7" s="10" t="s">
        <v>175</v>
      </c>
    </row>
    <row r="8" spans="1:17" x14ac:dyDescent="0.3">
      <c r="G8" s="10" t="s">
        <v>553</v>
      </c>
      <c r="L8" s="10" t="s">
        <v>1746</v>
      </c>
      <c r="Q8" s="10" t="s">
        <v>184</v>
      </c>
    </row>
    <row r="9" spans="1:17" x14ac:dyDescent="0.3">
      <c r="G9" s="10" t="s">
        <v>354</v>
      </c>
      <c r="Q9" s="10" t="s">
        <v>192</v>
      </c>
    </row>
    <row r="10" spans="1:17" x14ac:dyDescent="0.3">
      <c r="Q10" s="10" t="s">
        <v>200</v>
      </c>
    </row>
    <row r="11" spans="1:17" x14ac:dyDescent="0.3">
      <c r="Q11" s="10" t="s">
        <v>209</v>
      </c>
    </row>
    <row r="12" spans="1:17" x14ac:dyDescent="0.3">
      <c r="Q12" s="10" t="s">
        <v>217</v>
      </c>
    </row>
    <row r="13" spans="1:17" x14ac:dyDescent="0.3">
      <c r="Q13" s="10" t="s">
        <v>226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Tong_quan</vt:lpstr>
      <vt:lpstr>Muc_dich</vt:lpstr>
      <vt:lpstr>Case_study</vt:lpstr>
      <vt:lpstr>Yeu_to</vt:lpstr>
      <vt:lpstr>Buoc_xu_ly</vt:lpstr>
      <vt:lpstr>Ma_tran</vt:lpstr>
      <vt:lpstr>Mau_khung</vt:lpstr>
      <vt:lpstr>Mau_cau</vt:lpstr>
      <vt:lpstr>Chi_tieu</vt:lpstr>
      <vt:lpstr>Preset_moi_truong</vt:lpstr>
      <vt:lpstr>Danh_gia</vt:lpstr>
      <vt:lpstr>Ho_so_nguoi_noi</vt:lpstr>
      <vt:lpstr>Nguon_giay_phep</vt:lpstr>
      <vt:lpstr>Tai_lieu</vt:lpstr>
      <vt:lpstr>Tu_dia_phuong</vt:lpstr>
      <vt:lpstr>Tu_vung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Vu Cong Hiep 20237328</cp:lastModifiedBy>
  <cp:revision>0</cp:revision>
  <dcterms:created xsi:type="dcterms:W3CDTF">2026-10-12T08:55:05Z</dcterms:created>
  <dcterms:modified xsi:type="dcterms:W3CDTF">2026-10-17T14:23:02Z</dcterms:modified>
  <dc:language>en-US</dc:language>
</cp:coreProperties>
</file>